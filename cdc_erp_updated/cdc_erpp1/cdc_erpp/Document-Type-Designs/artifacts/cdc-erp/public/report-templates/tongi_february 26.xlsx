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/>
  </bookViews>
  <sheets>
    <sheet name="ফেব্রুয়ারী টপশীট" sheetId="2" r:id="rId1"/>
    <sheet name="February 26" sheetId="1" r:id="rId2"/>
  </sheets>
  <definedNames>
    <definedName name="_xlnm._FilterDatabase" localSheetId="1" hidden="1">'February 26'!$A$11:$Q$2331</definedName>
    <definedName name="_xlnm.Print_Area" localSheetId="0">'ফেব্রুয়ারী টপশীট'!$A$1:$N$31</definedName>
  </definedNames>
  <calcPr calcId="144525"/>
</workbook>
</file>

<file path=xl/calcChain.xml><?xml version="1.0" encoding="utf-8"?>
<calcChain xmlns="http://schemas.openxmlformats.org/spreadsheetml/2006/main">
  <c r="L26" i="2" l="1"/>
  <c r="J26" i="2"/>
  <c r="H26" i="2"/>
  <c r="F26" i="2"/>
  <c r="D26" i="2"/>
  <c r="B26" i="2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2" i="1"/>
  <c r="D151" i="1"/>
  <c r="D150" i="1"/>
  <c r="D149" i="1"/>
  <c r="D148" i="1"/>
  <c r="D147" i="1"/>
  <c r="D146" i="1"/>
  <c r="D145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44" i="1"/>
</calcChain>
</file>

<file path=xl/comments1.xml><?xml version="1.0" encoding="utf-8"?>
<comments xmlns="http://schemas.openxmlformats.org/spreadsheetml/2006/main">
  <authors>
    <author>HP</author>
  </authors>
  <commentList>
    <comment ref="D234" author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বয়স আপডেট করতে হবে</t>
        </r>
      </text>
    </comment>
  </commentList>
</comments>
</file>

<file path=xl/sharedStrings.xml><?xml version="1.0" encoding="utf-8"?>
<sst xmlns="http://schemas.openxmlformats.org/spreadsheetml/2006/main" count="8476" uniqueCount="3233">
  <si>
    <t xml:space="preserve">                                                      
গণপ্রজাতন্ত্রী বাংলাদেশ সরকার
সমাজসেবা অধিদপ্তর
শিশু উন্নয়ন কেন্দ্র (বালক)
টঙ্গী, গাজীপুর।
বিষয়ঃ আইনের সংঘাতে জড়িত/ আইনের সংস্পর্শে আসা শিশুদের তথ্যাবলীঃ
  </t>
  </si>
  <si>
    <t>“ছক” 2</t>
  </si>
  <si>
    <t>ক্রঃনং</t>
  </si>
  <si>
    <t>মৌলিক তথ্যাদি</t>
  </si>
  <si>
    <t>মামলা সংক্রন্ত তথ্যাদি</t>
  </si>
  <si>
    <t>পুনর্বাসন সংক্রন্ত তথ্যাদি</t>
  </si>
  <si>
    <t>মন্তব্য</t>
  </si>
  <si>
    <t>নিবাসীর নাম, মাতা ও পিতার নাম</t>
  </si>
  <si>
    <t>বয়স</t>
  </si>
  <si>
    <t>ঠিকানা</t>
  </si>
  <si>
    <t xml:space="preserve">কেন্দ্রের রেজি: নং </t>
  </si>
  <si>
    <t>আগমনের তারিখ</t>
  </si>
  <si>
    <t>মামলা নাম্বার ও ধারা</t>
  </si>
  <si>
    <t>অপরাধের ধরন</t>
  </si>
  <si>
    <t>আদালতের নাম</t>
  </si>
  <si>
    <t>মামলার বর্তমান অবস্থা এবং আইনগত সহায়তা কিভাবে পাচ্ছে</t>
  </si>
  <si>
    <t>আদালতে হাজিরার বিবরণ, সর্বশেষ হাজিরা ও পরবর্তী হাজিরার তারিখ</t>
  </si>
  <si>
    <t>অভিভাবকের সাথে যোগাযোগ</t>
  </si>
  <si>
    <t>শিক্ষা ও প্রশিক্ষণ (শ্রেণী ও ট্রেডের নাম)</t>
  </si>
  <si>
    <t>কেন্দ্র থেকে গৃহিত ব্যবস্থাদি</t>
  </si>
  <si>
    <t xml:space="preserve">সি ডব্লিউতে উল্লেখিত বয়স </t>
  </si>
  <si>
    <t>বর্তমান বয়স</t>
  </si>
  <si>
    <t>স্কাইপি</t>
  </si>
  <si>
    <t>অনান্য</t>
  </si>
  <si>
    <t>আরমান প্রকাশ শ্রাবণ পিতা: মাহতাব প্রকাশ মিতু</t>
  </si>
  <si>
    <t>গ্রাম- তারুয়অ (সড়কপাড়া)
থানা- আশুগঞ্জ 
জেলা- ব্রাহ্মণবাড়ীয়া</t>
  </si>
  <si>
    <t>আশুগঞ্জ থা: মা: নং-7(6)২2
শিশু মা: নং- 34/২3
জি আর- 193/22
ধারা-নারী  ও শিশু নির্যাতন দমন আইন ২০০০ এর 9(1)</t>
  </si>
  <si>
    <t>নারী ও শিশু নির্যাতন</t>
  </si>
  <si>
    <t>শিশু আদালত-২, ব্রাহ্মণবাড়ীয়া</t>
  </si>
  <si>
    <t>বিচারে দোষী সাব্যস্ত</t>
  </si>
  <si>
    <t>অভিভাবকের সাথে ফোনে 02 বার কথা বলে দেয়া  হয়েছে এবং 02 বার সাক্ষাৎ করেছে</t>
  </si>
  <si>
    <t xml:space="preserve">বিদ্যালয় শাখা </t>
  </si>
  <si>
    <t>1. প্রতিষ্ঠানের নিয়ম সম্পর্কে ধারনা দেয়া ২. মোটিভেশনাল কাউন্সেলিং করা</t>
  </si>
  <si>
    <t>শাওন 
পিতা- রমজান</t>
  </si>
  <si>
    <t>লাইব্রেরী</t>
  </si>
  <si>
    <t>মোহাম্মদ সোহেল
পিতা- মোহাম্মদ সৈয়দ</t>
  </si>
  <si>
    <t>গ্রাম- কুতুবপাল
থানা- উখিয়া 
জেলা- কক্সবাজার</t>
  </si>
  <si>
    <t>লোহাগড়া থা: মা: নং-8(4)২3
শিশু মা: নং- 71/23
জি আর- 131/22
ধারা-মাদকদ্রব্য নিয়ন্ত্রন আইন 36(1) এর 10(গ)/41</t>
  </si>
  <si>
    <t>মাদক</t>
  </si>
  <si>
    <t>শিশু আদালত-২,চট্টগ্রাম</t>
  </si>
  <si>
    <t xml:space="preserve">১. সবার সাথে ভালো ব্যবহার করার জন্য পরামর্শ দেওয়া হয়েছে। ২. মোটিভেশনাল কউন্সেলিং </t>
  </si>
  <si>
    <t>মোঃ জাকিরুল ইসলাম
পিতা- মোঃ নুরু</t>
  </si>
  <si>
    <t>গ্রাম- ভাতহাড়িয়া
থানা- রায়গঞ্জ
জেলা- সিরাজগঞ্জ</t>
  </si>
  <si>
    <t>শিশু মা: নং- 45/23
ধারা-377 পেনাল কোড</t>
  </si>
  <si>
    <t xml:space="preserve">শিশু আদালত-২, সিরাজগঞ্জ </t>
  </si>
  <si>
    <t>হৃদয় মাতব্বার
পিতা- জালাল মাতব্বার</t>
  </si>
  <si>
    <t>গ্রাম- কোতোয়ালী
থানা- কোতোয়ালী
জেলা- ফরিদপুর</t>
  </si>
  <si>
    <t>দোহার থা:মা: নং- 3(5)22
ধারা- নারী ও শিশু নির্যাতন দমন আইন এর 9(3)</t>
  </si>
  <si>
    <t>হত্যা</t>
  </si>
  <si>
    <t>সিনিঃ জুডিঃ ম্যাজি ঢাকা</t>
  </si>
  <si>
    <t>বিচারাধীন অভিভাবক কর্তৃক আইনজীবী নিয়োগ।</t>
  </si>
  <si>
    <t>বৈদ্যুতিক শাখা</t>
  </si>
  <si>
    <t>মোটিভেশনাল কউন্সেলিং করা হয়েছৈ।</t>
  </si>
  <si>
    <t>মোঃ নাঈম 
পিতা- শিপন</t>
  </si>
  <si>
    <t xml:space="preserve">গ্রাম- আবাউর বটতলা 
থানা- তারাইল
জেলা-  কিশোরগঞ্জ
 </t>
  </si>
  <si>
    <t>মোহাম্মদপুর থা:  এফ আই আর নং-36  
ধারা- মাদক দ্রব্য নিয়ন্তন আইন 36(1)</t>
  </si>
  <si>
    <t>শিশু আদালত-৬
ঢাকা</t>
  </si>
  <si>
    <t>১. মোটিভেশনাল কাউন্সেলিং প্রদান ২. চিকিৎসা সেবা প্রদান ৩. আইনজীবীর সাথে নিয়মিত যোগাযোগ</t>
  </si>
  <si>
    <t>মোঃ সজিব মিয়া
পিতা- মোঃ বিল্লাল হোসেন</t>
  </si>
  <si>
    <t>গ্রাম- কলসিন্দুর
থানা- ধোবাউরা
জেলা- ময়মনসিংহ</t>
  </si>
  <si>
    <t>ধোবাউরা থা:মা: নং- 13(3)23
ধারা- নারী ও শিশু নির্যাতন দমন আইন 2000 এর (সং/3) এর 9(3)30 তৎসহ 201</t>
  </si>
  <si>
    <t>শিশু আদালত ময়মনসিংহ</t>
  </si>
  <si>
    <t>ফোনে 02 বার মায়ের সাথে কথা বলে দেয়া হয়েছে এবং 01 বার সাক্ষাৎ করেছে</t>
  </si>
  <si>
    <t>১. নিয়মিত কাউন্সেলিং করা ২. পরিবারের সাথে নিয়মিত যোগাযোগ 3. আদালতে নিয়মিত যোগাযোগ</t>
  </si>
  <si>
    <t>মোঃ আব্দুল্লাহ আল মামুন
পিতা-এনামুল হক</t>
  </si>
  <si>
    <t>গ্রাম- পাঁচড়া
থানা-চৌদ্দগ্রাম
জেলা-কুমিল্লা</t>
  </si>
  <si>
    <t xml:space="preserve">চৌদ্দগ্রাম থা: মা: নং- 16(7)23
ধারা- 302/394/34 পিসি </t>
  </si>
  <si>
    <t xml:space="preserve">শিশু আদালত কুমিল্লা </t>
  </si>
  <si>
    <t>অভিভাবকের সাথে 02 বার ফোনালাপ এবং 3 বার সাক্ষাৎ করেছে</t>
  </si>
  <si>
    <t>১. নিয়মিত কাউন্সেলিং করা ২. পরিবারের সাথে নিয়মিত যোগাযোগ ৩. পরিষ্কার পরিচ্ছন্ন থাকার পরামর্শ</t>
  </si>
  <si>
    <t>মোঃ সুমন ৥ কালু সুমন ৥ ছোট সুমন
পিতা- ইসহাক</t>
  </si>
  <si>
    <t>গ্রাম-রায়বাদলা
থানা-ইটনা
জেলা-কিশোরগঞ্জ</t>
  </si>
  <si>
    <t>ধানমন্ডি থা: মা: নং- 16(7)23
ধারা- 394/302</t>
  </si>
  <si>
    <t xml:space="preserve">শিশু আদালত-৬,  ঢাকা </t>
  </si>
  <si>
    <t>বিচারাধীন লিগ্যাল এইড কর্তৃক আইনজীবী নিয়োগ।</t>
  </si>
  <si>
    <t>অভিভাবকের সাথে 03 বার ফোনালাপ</t>
  </si>
  <si>
    <t xml:space="preserve">1. সরকারি উকিল নিয়োগ করা হয়েছে। ২. পরিষ্কার পরিচ্ছন্ন থাকার পরামর্শ দেওয়া হয়েছে। ৩. নিয়মিত কাউন্সেলিং করা হচ্ছে। ৪. পরিবার খুঁজে বের করা হয়েছে।  </t>
  </si>
  <si>
    <t xml:space="preserve">মোঃ ইকবাল 
পিতা- মোঃহারূন </t>
  </si>
  <si>
    <t>গ্রাম-জামিহা
থানা-তাড়াইল
জেলা-কিশোরগঞ্জ</t>
  </si>
  <si>
    <t>ধানমন্ডি থা: মা: নং- 16(7)23
ধারা- 394/303</t>
  </si>
  <si>
    <t>ফোনে 0২ বার মায়ের সাথে কথা বলে দেয়া  হয়েছে এবং 0২ বার সাক্ষাৎ করেছে</t>
  </si>
  <si>
    <t>কারাগারে স্থানান্তর  করা হয়েছে</t>
  </si>
  <si>
    <t>কারাগারে প্রেরণ 
27-02-26</t>
  </si>
  <si>
    <t>আসাদ মিয়া
পিতা- মোঃ হোসেন</t>
  </si>
  <si>
    <t>গ্রাম- খরমপাড়া
থানা- চান্দগাঁও
জেলা- চট্টগ্রাম</t>
  </si>
  <si>
    <t>চান্দগাঁও থা:মা: নং- 15(8)23
ধারা- নারী ও শিশু নির্যাতন দমন আইন এর 7/9(3)/30</t>
  </si>
  <si>
    <t>শিশু আদালত-5 চট্টগ্রাম</t>
  </si>
  <si>
    <t>ফোনে 02 বার মায়ের সাথে কথা বলে দেয়া হয়েছে এবং 02 বার সাক্ষাৎ করেছে</t>
  </si>
  <si>
    <t xml:space="preserve">পরিষ্কার পরিচ্ছন্ন থাকার পরামর্শ দেওয়া হয়েছে </t>
  </si>
  <si>
    <t>মিরাজ প্রকাশ হেলাল
পিতা- নবী হোসেন</t>
  </si>
  <si>
    <t>গ্রাম- রাইম খোলা
থানা- লামা
জেলা- বান্দরবান</t>
  </si>
  <si>
    <t>লামা থা:মা: নং- 7(9)23
ধারা- নারী ও শিশু নির্যাতন দমন আইন এর 9(2)</t>
  </si>
  <si>
    <t>শিশু আদালত বান্দরবান</t>
  </si>
  <si>
    <t>অভিভাকের সাথে ফোনে 02 বার কথা বলে দেয়া  হয়েছে</t>
  </si>
  <si>
    <t>ধৈর্যশীল হওয়ার পরামর্শ দেওয়া হয়েছে</t>
  </si>
  <si>
    <t>মোঃ শুভ মিয়া
পিতা- মোঃ জাকির মিয়া</t>
  </si>
  <si>
    <t>গ্রাম-বাশগাড়ী
থানা- রায়পুরা
জেলা- নরসিংদী</t>
  </si>
  <si>
    <t>নরসিংদী মডেল থা:মা: নং-29(10)23
ধারা-302/201/34 পিসি</t>
  </si>
  <si>
    <t>শিশু আদালত নরসিংদী</t>
  </si>
  <si>
    <t xml:space="preserve"> ফোনে 02 বার বাবার সাথে কথা বলে দেয়া  হয়েছে এবং 02 বার সাক্ষাৎ করেছে</t>
  </si>
  <si>
    <t>কম্পিউটার প্রশিক্ষন</t>
  </si>
  <si>
    <t>ধর্মীয় ও নৈতিক শিক্ষা সম্পর্কে আলোচনা করা হয়েছে।</t>
  </si>
  <si>
    <t>মোঃ রিফাত
পিতা- মোঃ ফিরোজ</t>
  </si>
  <si>
    <t>গ্রাম- বাসাবাড়ী
থানা- রায়পুর
জেলা- লক্ষীপুর</t>
  </si>
  <si>
    <t>ডেমরা থা:মা: নং- 2(12)21
ধারা- নারী ও শিশু নির্যাতন দমন আইন এর 9(1)</t>
  </si>
  <si>
    <t>শিশু আদালত-3 ঢাকা</t>
  </si>
  <si>
    <t>মোঃ আঃ জলিল ইসলাম জনি
পিতা- মোঃ ফয়জুল</t>
  </si>
  <si>
    <t>গ্রাম- শিলমুন
থানা- টঙ্গী পূর্ব
জেলা- গাজীপুর</t>
  </si>
  <si>
    <t>টঙ্গী পূর্ব থা:মা: নং- 29(12)23
ধারা- নারী ও শিশু নির্যাতন দমন আইন 9(2) তৎসহ 201/34 পিসি</t>
  </si>
  <si>
    <t>আমলী আদালত গাজীপুর</t>
  </si>
  <si>
    <t>দর্জি শাখা</t>
  </si>
  <si>
    <t xml:space="preserve">মোটিভেশনাল কাউন্সেলিং করা হয়েছে  </t>
  </si>
  <si>
    <t>তানভির
পিতা- সাজু মিয়া</t>
  </si>
  <si>
    <t>গ্রাম- মধুরামপুর
থানা- তারাগঞ্জ
জেলা- রংপুর</t>
  </si>
  <si>
    <t>হাতিরঝিল থা:মা: নং- 5(1)24
ধারা- নারী ও শিশু নির্যাতন দমন আইন 9(3)</t>
  </si>
  <si>
    <t>মোট্রোঃ ম্যাজিঃ ঢাকা</t>
  </si>
  <si>
    <t>মোঃ মোঃ সাইদ হোসেন
পিতা- মোঃ সামিউল হক</t>
  </si>
  <si>
    <t>গ্রাম- চরশিমুল চুড়া
থানা- শ্রীবর্দী
জেলা- শেরপুর</t>
  </si>
  <si>
    <t>শ্রীবর্দী থা:মা: নং-182(2)24
ধারা-143/341/323/302/427/ 34 পিসি</t>
  </si>
  <si>
    <t>শিশু আদালত শেরপুর</t>
  </si>
  <si>
    <r>
      <t>১. পরিষ্কার পরিচ্ছন্ন থাকার পরামর্শ ২. মোটিভেশনাল কাউন্সেলিং প্রদান</t>
    </r>
    <r>
      <rPr>
        <b/>
        <sz val="12"/>
        <color theme="1"/>
        <rFont val="NikoshBAN"/>
      </rPr>
      <t xml:space="preserve"> </t>
    </r>
  </si>
  <si>
    <t>সাদমান রহমান অরুপ
পিতা- হাবিবুর রহমান</t>
  </si>
  <si>
    <t>গ্রাম-মিরবাগ
থানা- হাতিরঝিল
জেলা- ঢাকা</t>
  </si>
  <si>
    <t>হাতিরঝিল থা:মা: নং-17(1)2024
ধারা-302/ 34 পিসি</t>
  </si>
  <si>
    <t>শিশু আদালত-7 ঢাকা</t>
  </si>
  <si>
    <t xml:space="preserve"> ফোনে 05 বার মায়ের সাথে কথা বলে দেয়া  হয়েছে এবং 02 বার সাক্ষাৎ করেছে</t>
  </si>
  <si>
    <r>
      <t>১. পরিষ্কার পরিচ্ছন্ন থাকার পরামর্শ দেওয়া হয়েছে ২. কাউন্সেলিং করা হয়েছে</t>
    </r>
    <r>
      <rPr>
        <b/>
        <sz val="12"/>
        <color theme="1"/>
        <rFont val="NikoshBAN"/>
      </rPr>
      <t xml:space="preserve"> </t>
    </r>
  </si>
  <si>
    <t xml:space="preserve">তামিম
পিতা-আলাউদ্দিন	</t>
  </si>
  <si>
    <t>গ্রাম-পশ্চিম আউলিয়াপুর
থানা-সদর
জেলা-পটুয়াখালী</t>
  </si>
  <si>
    <t>খিলগাঁও থা: মা: নং-৪১(৪)২৪
ধারা -৮(১)/৮(৬)/৮(৭)
পর্ণোগ্রাফী নিয়ন্ত্রন আইন</t>
  </si>
  <si>
    <t>পর্ণোগ্রাফি</t>
  </si>
  <si>
    <t>মেট্টোঃ ম্যাজিঃ
ঢাকা</t>
  </si>
  <si>
    <t>বিচারাধীন অভিভাবক কর্তৃক আইনজীবী নিয়োগ</t>
  </si>
  <si>
    <t>১. পরিষ্কার পরিচ্ছন্ন থাকার পরামর্শ ২. মোটিভেশনাল কাউন্সেলিং প্রদান</t>
  </si>
  <si>
    <t>মোঃ  আব্দুল আমিন ৥ পুতিয়া
পিতা-মৃত বশির আহমেদ</t>
  </si>
  <si>
    <t>গ্রাম-আলিয়াবাদ
থানা- টেকনাফ
জেলা- কক্সবাজার</t>
  </si>
  <si>
    <t>টেকনাফ থা:মা: নং-19(3)24
ধারা-302/201/ 34 পিসি 1860</t>
  </si>
  <si>
    <t>শিশু আদালত-3 কক্সবাজার</t>
  </si>
  <si>
    <t>বিচারাধীন সরকারি আইনজীবী নিয়োগ।</t>
  </si>
  <si>
    <t>ফোনে 08 বার মায়ের সাথে কথা বলে দেয়া  হয়েছে</t>
  </si>
  <si>
    <t xml:space="preserve">1.ধর্মীয় ও নৈতিক শিক্ষা সম্পর্কে আলোচনা 2. চিকিৎসা সেবা দেওয়া হয়েছে 3.  ট্রেডের প্রতি আগ্রহ করা হয়েছে </t>
  </si>
  <si>
    <t>মোঃ  রিয়াদ
পিতা- মোঃ সুমন</t>
  </si>
  <si>
    <t>গ্রাম-লাড়ু চৌ
থানা- ব্রক্ষনপার
জেলা- কুমিল্লা</t>
  </si>
  <si>
    <t>ব্রক্ষনপার থা:মা: নং-17(4)24
ধারা-302/201/ 34 পিসি</t>
  </si>
  <si>
    <t>শিশু আদালত- 2 কুমিল্লা</t>
  </si>
  <si>
    <t>-</t>
  </si>
  <si>
    <t>ফোনে 04 বার বাবার সাথে কথা বলে দেয়া  হয়েছে এবং 01 বার সাক্ষাৎ করেছে</t>
  </si>
  <si>
    <t>1. মোটিভেশনাল কউন্সেলিং করা 2. চিকিৎসা সেবা প্রদান ৩. আদালতে কোর্ট হাজিরা বিষয়ে খথা বলা হয়েছে</t>
  </si>
  <si>
    <t>মোঃ  শামীম হোসেন
পিতা- রফিকুল ইসলাস</t>
  </si>
  <si>
    <t>গ্রাম- সানন্দবারি
থানা- দেওয়ানগঞ্জ
জেলা- জামালপুর</t>
  </si>
  <si>
    <t>দেওয়ানগঞ্জ থা:মা: নং-13(5)24
ধারা-302/201</t>
  </si>
  <si>
    <t>শিশু আদালত- 1 জামালপুর</t>
  </si>
  <si>
    <t>ফোনে 02 বার বাবা মায়ের সাথে কথা বলে দেয়া  হয়েছে এবং 02 বার সাক্ষাৎ করেছে</t>
  </si>
  <si>
    <t xml:space="preserve">1. ১৮ বছর পূর্ণ হওয়ায় বিজ্ঞ আদালতে চিঠি প্রেরণ ২. চিকিৎসা সেবা দেওয়া হয়েছে  </t>
  </si>
  <si>
    <t>মোঃ আঃ আল নিরব
পিতা- মোঃ হানিফ মিয়া</t>
  </si>
  <si>
    <t>গ্রাম- নেকবক্ত
থানা- জল ঢাকা
জেলা- নীলফামারী</t>
  </si>
  <si>
    <t>কোনাবাড়ী থা:মা: নং- 4(6)24
ধারা- নারী ও শিশু নির্যাতন দমন আইন এর 9/ (3) তৎসহ 201 পিসি</t>
  </si>
  <si>
    <t>নারী ও শিশু আদালত ট্রাইঃ- গাজীপুর</t>
  </si>
  <si>
    <t>পরিবারের নিকট হস্তান্তর করা হয়েছে</t>
  </si>
  <si>
    <t>জামিনে মুক্তি 08-02-26</t>
  </si>
  <si>
    <t>মোঃ সাজেদুল ইসলাম
পিতা- শফিকুল ইসলাম</t>
  </si>
  <si>
    <t>গ্রাম- চান্দ্রামারি
থানা- রাজার হাট
জেলা- কুড়িগ্রাম</t>
  </si>
  <si>
    <t>ফোনে 02 বার বাবা ও ভাইয়ের সাথে কথা বলে দেয়া হয়েছে এবং 02 বার সাক্ষাৎ করেছে</t>
  </si>
  <si>
    <t>১. মোটিভেশনাল কাউন্সেলিং করা হয়েছে                 ২. আদালত হাজিরার তারিখের জন্য সংশ্রিষ্ট পেশকারের সঙ্গে যোগাযোগ করা হযেছে</t>
  </si>
  <si>
    <t>আবির হোসেন সামি
পিতা- মৃত বাচ্চু মিয়া</t>
  </si>
  <si>
    <t>গ্রাম- শাকপুর নতুন বাজার
থানা- বরুরা
জেলা- কুমিল্লা</t>
  </si>
  <si>
    <t>ডাবল মুরিং থা:মা: নং-5(6)24
ধারা-302/34</t>
  </si>
  <si>
    <t>শিশু আদালত-চট্টগ্রাম</t>
  </si>
  <si>
    <t>অভিভাবকের সাথে ফোনে 02 বার কথা বলে দেয়া  হয়েছে এবং 2 বার সাক্ষাৎ করেছে</t>
  </si>
  <si>
    <t>জামিনে মুক্তি 04-02-26</t>
  </si>
  <si>
    <t xml:space="preserve">রিয়াজ উদ্দিন 
পিতা- আঃ রশিদ </t>
  </si>
  <si>
    <t xml:space="preserve">গ্রাম-লম্বাবিল  
থানা- টেকনাফ 
জেলা- কক্সবাজার
 </t>
  </si>
  <si>
    <t xml:space="preserve"> টেকনাফ  থা: মা: নং-40 (6)24 
ধারা- মাদক দ্রব্য নিয়ন্তন আইন 36(1)সারনীর 10 (গ)/41</t>
  </si>
  <si>
    <t>শিশু আদালত-3
কক্সবাজার</t>
  </si>
  <si>
    <t>১. মোটিভেশনাল কাউন্সেলিং প্রদান ২. চিকিৎসা সেবা প্রদান ৩. কোর্ট হাজিরা বিষয়ে আদালতের সাথে নিয়মিত যোগাযোগ</t>
  </si>
  <si>
    <t>মেহেদী হাসান মুন্না
পিতা- রাসেল</t>
  </si>
  <si>
    <t>গ্রাম- নানুবাড়িয়া
থানা- ঝালকাঠি সদর
জেলা- ঝালকাঠি</t>
  </si>
  <si>
    <t>রূপগঞ্জ থা:মা: নং-1(7)24
ধারা-302/201</t>
  </si>
  <si>
    <t>শিশু আদালত-নারায়নগঞ্জ</t>
  </si>
  <si>
    <t>অভিভাবকের সাথে ফোনে 01 বার কথা বলে দেয়া  হয়েছে</t>
  </si>
  <si>
    <t>নিয়মিত নামাজ আদায়ের পরামর্শ দেওয়া হয়েছে।</t>
  </si>
  <si>
    <t>মোঃ সাহর হোসেন
পিতা- হান্নান হোসেন</t>
  </si>
  <si>
    <t>গ্রাম- জয়সিধ
থানা- নেত্রকোনা
জেলা- নেত্রকোনা</t>
  </si>
  <si>
    <t>শেরে বাংলা থা:মা: নং-65(6)23
ধারা-302 পিসি</t>
  </si>
  <si>
    <t>মেট্রোঃ ম্যাজিঃ ঢাকা</t>
  </si>
  <si>
    <t>অভিভাবকের সাথে ফোনে 01 বার কথা বলে দেয়া  হয়েছে এবং 1 বার সাক্ষাৎ করেছে</t>
  </si>
  <si>
    <t>১. বয়স সুনির্দিষ্ট করার বিষয়ে আদালতে কথা বলা হয়েছে ২. কাউন্সেলিং করা হয়েছে</t>
  </si>
  <si>
    <t>মোঃ মাহাদী
পিতা- মোঃ কামাল</t>
  </si>
  <si>
    <t>গ্রাম- দিঘিরপার
থানা- মাধবদি
জেলা- নরসিংদী</t>
  </si>
  <si>
    <t>শাহবাগ থা: জি ডি নং- 580/24
নরসিংদী থা:মা: নং- 2(4)24
ধারা- নারী ও শিশু নির্যাতন দমন আইন 2000 এর 9(3) তৎসহ পিসি</t>
  </si>
  <si>
    <t>নারী ও শিশু আদালত ট্রাইঃ- নরসিংদী</t>
  </si>
  <si>
    <t>ফোনে 01 বার বাবার সাথে কথা বলে দেয়া হয়েছে এবং 01 বার সাক্ষাৎ করেছে</t>
  </si>
  <si>
    <t>সবার সাথে ভালো ব্যবহার করার জন্য পরামর্শ দেওয়া হয়েছে।</t>
  </si>
  <si>
    <t xml:space="preserve">মোঃ তানভির @ বর্ন
পিতা- আঃ বারেক </t>
  </si>
  <si>
    <t xml:space="preserve">নেই গ্রাম- বালিয়াদী 
থানা- নকলা 
জেলা -শেরপুর </t>
  </si>
  <si>
    <t xml:space="preserve"> নকলা থা: মা: নং-৭(৭)২৪
ধারা -৩২৩/৩২৬/৩০৭/
৫০৬(২)
</t>
  </si>
  <si>
    <t>মারামারি</t>
  </si>
  <si>
    <t>শিশু আদালত-
শেরপুর</t>
  </si>
  <si>
    <t>১. কাউন্সেলিং প্রদান ২. চিকিৎসা সেবা প্রদান ৩. পরিবারকে কাউন্সেলিং করা হচ্ছে</t>
  </si>
  <si>
    <t xml:space="preserve">সাকিবুল হাসান জয় 
পিতা- মোঃ সেতুর মিয়া </t>
  </si>
  <si>
    <t xml:space="preserve">গ্রাম- কানাইকাটা 
থানা- নকলা 
জেলা শেরপুর </t>
  </si>
  <si>
    <t xml:space="preserve"> নকলা থা: মা: নং-৭(৭)২৪
ধারা -৩২৩/৩২৬/৩০৭/
৫০৬(২)
</t>
  </si>
  <si>
    <t>বিবিধ</t>
  </si>
  <si>
    <t xml:space="preserve"> শিশু আদালত-
শেরপুর</t>
  </si>
  <si>
    <t>১. কাউন্সেলিং প্রদান ২. চিকিৎসা সেবা প্রদান ৩. জন্ম নিবন্ধন সংগ্রহের জন্য পরিবারের সাথে যোগাযোগ</t>
  </si>
  <si>
    <t>নুর-আলম
পিতা- মোঃ শাহাবুদ্দিন</t>
  </si>
  <si>
    <t>গ্রাম- ভগিরমপুর
থানা- শ্রীবর্দী
জেলা- নরসিংদী</t>
  </si>
  <si>
    <t>শ্রীবর্দী থা:মা: নং-14(7)24
ধারা-302/201/34 পি সি</t>
  </si>
  <si>
    <t>আল মামুন
পিতা- নরুল ইসলাম</t>
  </si>
  <si>
    <t xml:space="preserve">গ্রাম- শাহা পরির দ্রীপ
থানা-  টেকনাফ  
জেলা- কক্সবাজার
 </t>
  </si>
  <si>
    <t>টেকনাফ  থা: মা: নং-40 (6)24 
ধারা- মাদক দ্রব্য নিয়ন্তন আইন 36(1)সারনীর 10 (গ)/41</t>
  </si>
  <si>
    <t>শিশু আদালত-
কক্সবাজার</t>
  </si>
  <si>
    <t>মোঃ রবিন
পিতা- মোঃ ইউসুফ</t>
  </si>
  <si>
    <t>গ্রাম- হিয়া জোরা
থানা- নাঙ্গলকোট
জেলা- কুমিল্লা</t>
  </si>
  <si>
    <t>নাঙ্গলকোট থা:মা: নং- 3(7)24
ধারা- নারী ও শিশু নির্যাতন দমন আইন এর 9(1)</t>
  </si>
  <si>
    <t>নারী ও শিশু আদালত ট্রাইঃ- কুমিল্লা</t>
  </si>
  <si>
    <t>ফোনে 01 বার বাবার সাথে কথা বলে দেয়া হয়েছে</t>
  </si>
  <si>
    <t xml:space="preserve">1. ধর্মীয় ও নৈতিক শিক্ষা সম্পর্কে আলোচনা 2. মোটিভেশনাল কউন্সেলিং করা </t>
  </si>
  <si>
    <t>মোঃ গালিব
পিতা- নুরুল আমিন</t>
  </si>
  <si>
    <t>গ্রাম- ওয়াইফা পাড়া
থানা- রামগড়
জেলা- খাগড়াছড়ি</t>
  </si>
  <si>
    <t>রামগড় থা:মা: নং- 1(8)24
ধারা-302/34 পি সি</t>
  </si>
  <si>
    <t>শিশু আদালত-খাগড়াছড়ি</t>
  </si>
  <si>
    <t>ফোনে 02 বার বাবার সাথে কথা বলে দেয়া  হয়েছে</t>
  </si>
  <si>
    <t>1. মোটিভেশনাল কউন্সেলিং ২. পরিবারের সাথে যোগাযোগ করে লিগ্যাল এইড উকিল নিয়েগ</t>
  </si>
  <si>
    <t>মোঃ মনির হোসেন
পিতা- মোঃ জালাল ভূইয়া</t>
  </si>
  <si>
    <t>গ্রাম- দক্ষিন লক্ষিপুর
থানা- নবীনগর
জেলা- ব্রাক্ষনবাড়ীয়া</t>
  </si>
  <si>
    <t>টংগী পূর্ব থা:মা: নং- 14(9)24
ধারা-302 পেনাল কোড</t>
  </si>
  <si>
    <t>নারী ও শিশু নির্যাতন দমন ট্রাঃ-গাজীপুর</t>
  </si>
  <si>
    <t>ফোনে 02 বার ভাইয়ের সাথে কথা বলে দেয়া  হয়েছে এবং 01 বার সাক্ষাৎ করেছে</t>
  </si>
  <si>
    <t>১. মোটিভেশনাল কাউন্সেলিং করা হয়েছে                ২. লিগ্যাল এইড প্রদান করা হয়েছে</t>
  </si>
  <si>
    <t>সজিবুল ইসলাম প্রঃ শূভ
পিতা- মোঃ শরিফ</t>
  </si>
  <si>
    <t>গ্রাম- তিনতরী বাজার
থানা- মানিকছড়ি
জেলা- খাগরাছড়ি</t>
  </si>
  <si>
    <t>পাহার তলী থা:মা: নং- 9(9)24
ধারা- নারী ও শিশু নির্যাতন দমন আইন 2000 এর 9(1)</t>
  </si>
  <si>
    <t xml:space="preserve"> নারী ও শিশু নির্যাতন দমন ট্রাইঃ- চট্টগ্রাম</t>
  </si>
  <si>
    <t>ফোনে 04 বার মায়ের সাথে কথা বলে দেয়া হয়েছে এবং 02 বার সাক্ষাৎ করেছে</t>
  </si>
  <si>
    <t>মোঃ রিফাত মিয়া
পিতা- মোঃ আঃ হেকিম</t>
  </si>
  <si>
    <t>গ্রাম- মরিচার চর
থানা- ঈশ্বরগঞ্জ
জেলা- ময়মনসিংহ</t>
  </si>
  <si>
    <t>ঈশ্বরগঞ্জ থা:মা: নং- 13(2)24
ধারা- 143/447/302/114/34 পিসি</t>
  </si>
  <si>
    <t>শিশু আদালত-ময়মনসিংহ</t>
  </si>
  <si>
    <t>অভিভাবকের সাথে 02 বার ফোনালাপ এবং 02 বার সাক্ষাৎ করেছে</t>
  </si>
  <si>
    <t>১৮ বছর পূর্ণ হওয়ায় বিজ্ঞ আদালতে চিঠি প্রেরণ</t>
  </si>
  <si>
    <t>শাজিদুল ইসলাম হাসিব 
পিতা- মোঃ হাসিম উদ্দিন ভূইয়া</t>
  </si>
  <si>
    <t>গ্রাম- শিবপুর পশ্চিম পাড়া
থানা- শিবপুর
জেলা- নরসিংদী</t>
  </si>
  <si>
    <t>শিবপুর থা:মা: নং- 23(10)23
ধারা- 302/34 পিসি</t>
  </si>
  <si>
    <t>সিনিঃ জুডিঃ ম্যাজিঃ- নরসিংদী</t>
  </si>
  <si>
    <t>ফোনে 01 বার বাবার সাথে কথা বলে দেয়া  হয়েছে</t>
  </si>
  <si>
    <t>বয়স সুনির্দিষ্ট করার বিষয়ে আদালতে কথা বলা হয়েছে</t>
  </si>
  <si>
    <t>মাহদী হাসান ফাহমিদ
পিতা- জাহাঙ্গির আলম</t>
  </si>
  <si>
    <t>গ্রাম- সনার গাঁও
থানা- দোয়ারা বাজার
জেলা- সুনামগঞ্জ</t>
  </si>
  <si>
    <t>সুনামগঞ্জ থা:মা: নং- 1(11)24
ধারা- 302/380/448/109/34 পিসি</t>
  </si>
  <si>
    <t>শিশু আদালত সুনামগঞ্জ</t>
  </si>
  <si>
    <t>ফোনে 02 বার বাবার সাথে কথা বলে দেয়া  হয়েছে এবং 0১ বার সাক্ষাৎ করেছে</t>
  </si>
  <si>
    <t>১. মোটিভেশনাল কউন্সেলিং ২. কোর্ট হাজিরা নিয়মিতকরণের লক্ষে কাজ করা</t>
  </si>
  <si>
    <t>সারন হাসান রূদ্র
পিতা-  মাসুদ মিয়া</t>
  </si>
  <si>
    <t>গ্রাম- কাঠালী
থানা- ভালুকা
জেলা- ময়মনসিংহ</t>
  </si>
  <si>
    <t>ভালুকা থা:মা: নং- 7(11)24
ধারা- 302/34 পিসি</t>
  </si>
  <si>
    <t>১. মোটভেশনাল কাউন্সেলিং ২. চিকিংসা সেবা প্রদান</t>
  </si>
  <si>
    <t xml:space="preserve">মোঃ রবিউল ইসলাম রবিন 
পিতা- মোঃ ফুরকান আলী   </t>
  </si>
  <si>
    <t>গ্রাম- উত্তর খরিয়া   
থানা- শ্রীবদী 
জেলা- শেরপুর</t>
  </si>
  <si>
    <t>শেরপুর থা: মা: নং-২৩(১)২৪
ধারা- ৩৬৪/৩৪ পিসি</t>
  </si>
  <si>
    <t>শিশু আদালত
শেরপুর</t>
  </si>
  <si>
    <t>1. কোর্ট হাজিরা বিষয়ে আদালতে যোগাযোগ করা হচ্ছে ২. কাউন্সেলিং করা হচ্ছে</t>
  </si>
  <si>
    <t>তরিকুল ইসলাম
পিতা- আজিজুল ইসলাম</t>
  </si>
  <si>
    <t>গ্রাম- গনেরগাঁও মীরপাড়া 
থানা- কটিয়াদী
জেলা- কিশোরগঞ্জ</t>
  </si>
  <si>
    <t xml:space="preserve">জি: আর মা: নং- ৫২৬(১)২৩
ধারা- ৩২৩/৩৮০ দ: বি:
</t>
  </si>
  <si>
    <t>চুরি</t>
  </si>
  <si>
    <t>শিশু আদালত- ২ কিশোরগঞ্জ</t>
  </si>
  <si>
    <t>মোঃ ফাহিম
পিতা- মোঃ শরিফ</t>
  </si>
  <si>
    <t>গ্রাম- পশ্চিম জয়দেবপুর
থানা- সদর
জেলা- গাজীপুর মহানগর</t>
  </si>
  <si>
    <t>সদর থা:মা: নং- 34(11)24
ধারা- নারী ও শিশু নির্যাতন দমন আইন এর 9(3)</t>
  </si>
  <si>
    <t>নারী ও শিশু নির্যাতন ট্রাঃ- গাজীপুর</t>
  </si>
  <si>
    <t>অভিভাকের সাথে ফোনে 02 বার কথা বলে দেয়া  হয়েছে এবং 01 বার সাক্ষাৎ করেছে</t>
  </si>
  <si>
    <t xml:space="preserve">মোটিভেশনাল কাউন্সেলিং করা হয়েছে </t>
  </si>
  <si>
    <t>মোঃ সোহান
পিতা- শান্ত মিয়া</t>
  </si>
  <si>
    <t>গ্রাম- গঙ্গারামপুর
থানা- হরিরামপুর
জেলা- মানিকগঞ্জ</t>
  </si>
  <si>
    <t>রুপগঞ্জ থা:মা: নং- 36(11)24
ধারা- 302/201/379/34 পিসি</t>
  </si>
  <si>
    <t>শিশু আদালত নারায়নগঞ্জ</t>
  </si>
  <si>
    <t>হাবিবুর ৥ বাবু
পিতা- আওলাদ</t>
  </si>
  <si>
    <t>গ্রাম- পূবাইল নয়ানীপাড়া
থানা- পূবাইল
জেলা- গাজীপুর</t>
  </si>
  <si>
    <t>মোঃ সজল হোসেন 
পিতা- শরিফ হোসেন</t>
  </si>
  <si>
    <t>গ্রাম- আকুয়া 
থানা- কোতোয়ালী মডেল
জেলা- ময়মনসিংহ</t>
  </si>
  <si>
    <t xml:space="preserve">শেরেবাংলা নগর থা: মা: নং-৮(১১)২৪ 
জি আর- ৩৯২/২৪ 
ধারা- ৩৮০ পিসি </t>
  </si>
  <si>
    <t xml:space="preserve">মেট্ট: ম্যাজি:
ঢাকা
</t>
  </si>
  <si>
    <t>জামিনে মুক্তি 03-02-26</t>
  </si>
  <si>
    <t>মোঃ রবিউল আওয়াল স্বাধিন
পিতা- মোঃ আবু সামা</t>
  </si>
  <si>
    <t>গ্রাম- বেনুপারা
থানা- নালিতাবাড়ী
জেলা- শেরপুর</t>
  </si>
  <si>
    <t>নালিতাবাড়ী থা:মা: নং- 20(10)24
ধারা- নারী ও শিশু নির্যাতন দমন আইন এর 9(1)</t>
  </si>
  <si>
    <t>ফোনে 02 বার বাবার সাথে কথা বলে দেয়া হয়েছে এবং 02 বার সাক্ষাৎ করেছে</t>
  </si>
  <si>
    <t>জামিনে মুক্তি 26-02-26</t>
  </si>
  <si>
    <t xml:space="preserve">মোঃ সিফাত
পিতা- আব্দুল্লাহ </t>
  </si>
  <si>
    <t xml:space="preserve">গ্রাম- কদমতলী খাল পার 
থানা- দক্ষিন কেরানীগঞ্জ
জেলা- ঢাকা </t>
  </si>
  <si>
    <t xml:space="preserve">দক্ষিন কেরানীগঞ্জ থা: মা: নং- ৩৫(১২)২৪ 
ধারা- ৩৯৪/৪১২ পিসি
</t>
  </si>
  <si>
    <t>ছিনতাই</t>
  </si>
  <si>
    <t xml:space="preserve"> সিনিঃ জুডিঃ ম্যাজিঃ
ঢাকা</t>
  </si>
  <si>
    <t>1. কোর্ট হাজিরা বিষয়ে আদালতের সাথে নিয়মিত যোগাযোগ ২. কাউন্সেলিং করা</t>
  </si>
  <si>
    <t xml:space="preserve">মোঃ আরাফাত 
পিতা- মোঃ কামাল পারভেজ </t>
  </si>
  <si>
    <t xml:space="preserve">গ্রাম- কদমতলী খাল পার 
থানা- দক্ষিন কেরানীগঞ্জ
জেলা- ঢাকা  </t>
  </si>
  <si>
    <t xml:space="preserve"> দক্ষিন কেরানীগঞ্জ থা: মা: নং- ৩৫(১২)২৪ 
ধারা- ৩৯৪/৪১২ পিসি 
</t>
  </si>
  <si>
    <t>সিনিঃ জুডিঃ ম্যাজিঃ
ঢাকা</t>
  </si>
  <si>
    <t>রোহান
পিতা- রূকন খান</t>
  </si>
  <si>
    <t>গ্রাম- আদমপুর
থানা- মাদারীপুর সদর
জেলা- মাদারীপুর</t>
  </si>
  <si>
    <t xml:space="preserve">যাত্রাবাড়ী থা:মা: নং- 51(12)24
ধারা- 394/302/34 পিসি </t>
  </si>
  <si>
    <t>21/01/2025
11/8/2025</t>
  </si>
  <si>
    <t>অভিভাকের সাথে ফোনে 02 বার কথা বলে দেয়া  হয়েছে এবং 02 বার সাক্ষাৎ করেছে</t>
  </si>
  <si>
    <t>লতিল আহমেদ পাপ্পু
পিতা- মৃত ভাসানী মীর</t>
  </si>
  <si>
    <t>গ্রাম- মাধবপুর
থানা-কাশিমপুর
জেলা- গাজীপুর</t>
  </si>
  <si>
    <t xml:space="preserve">আশুলিয়া থা:মা: নং- 8(1)25
ধারা- 302/201/34 পিসি </t>
  </si>
  <si>
    <t>সিনি জুডি ম্যাজিঃ ঢাকা</t>
  </si>
  <si>
    <t>অভিভাকের সাথে ফোনে 01 বার কথা বলে দেয়া  হয়েছে এবং 01 বার সাক্ষাৎ করেছে</t>
  </si>
  <si>
    <t>১. কাউন্সেলিং প্রদান ২. চিকিৎসা সেবা প্রদান</t>
  </si>
  <si>
    <t xml:space="preserve">মোঃ ছিয়াদ 
পিতা- মোঃ ফারুক </t>
  </si>
  <si>
    <t xml:space="preserve">গ্রাম- ২ নং গলি 
থানা- যাত্রাবাড়ি 
জেলা- ঢাকা </t>
  </si>
  <si>
    <t xml:space="preserve">সি আর থা: মা: নং-৮৫৯/২৪
ধারা- ৩২৩/৩৮৭/৫০৬ পিসি </t>
  </si>
  <si>
    <t xml:space="preserve"> মেট্টঃ ম্যাজিঃ 
ঢাকা</t>
  </si>
  <si>
    <t>১. বয়স নির্ধারণের জন্য আদালতে কথা হয়েছে। ২. চিকিৎসা সেবা প্রদান 3. কাউন্সেলিং প্রদান</t>
  </si>
  <si>
    <t>সুমন হাওলাদার
পিতা- খোরশেদ আলম হাওলাদার</t>
  </si>
  <si>
    <t>গ্রাম- পশ্চিম চরকালী
থানা- ভোলা সদর
জেলা- ভোলা</t>
  </si>
  <si>
    <t>সাভার মডেল থা:মা: নং- 3(2)24
ধারা- নারী ও শিশু নির্যাতন দমন আইন 2000(সং/2020) এর 9(১)</t>
  </si>
  <si>
    <t>জুডিঃ ম্যাজিঃ ঢাকা</t>
  </si>
  <si>
    <t>১. চুলকানির জন্য চিকিৎসা প্রদান ২. পরিষ্কার পরিচ্ছন্ন থাকার পরামর্শ</t>
  </si>
  <si>
    <t>মোঃ সাজ্জাদ
পিতা- মোঃ মিন্টু মিয়া</t>
  </si>
  <si>
    <t>গ্রাম- বাগবাড়ী
থানা-টংগীবাড়ী
জেলা- মুন্সিগঞ্জ</t>
  </si>
  <si>
    <t>ফতুল্লা থা:মা: নং- 15(12)24
ধারা- 302/34 দা:বি:</t>
  </si>
  <si>
    <t>চিফ জুডি ম্যাজিঃ নারায়নগঞ্জ</t>
  </si>
  <si>
    <t>ফোনে 02 বার মায়ের সাথে কথা বলে দেয়া  হয়েছে</t>
  </si>
  <si>
    <t>১. ধর্মীয় ও নৈতিক শিক্ষা সম্পর্কে আলোচনা ২. বয়স সুনির্দিষ্ট করার বিষয়ে আদালতে কথা বলা হয়েছে</t>
  </si>
  <si>
    <t>উচাইচিং মারমা ৥ 
শূভ
পিতা- সাগাউ মারমা</t>
  </si>
  <si>
    <t>গ্রাম- কারিগড় পারা
থানা-চন্দ্রঘোনা
জেলা- রাঙ্গামাটি</t>
  </si>
  <si>
    <t>চন্দ্রঘোনা থা:মা: নং- 4(12)24
জি আর- 37/24
ধারা- 302/34 পিসি 1860</t>
  </si>
  <si>
    <t>শিশু আদালত-3 রাঙ্গামাটি</t>
  </si>
  <si>
    <t>ফোনে 01 বার বাবার সাথে কথা বলে দেয়া  হয়েছে এবং 01 বার সাক্ষাৎ করেছে</t>
  </si>
  <si>
    <t>মোঃ তাসিফ
পিতা- আবু তৈয়ব</t>
  </si>
  <si>
    <t>গ্রাম- বাহারছরা দীঘিরপার
থানা- বাশখালী
জেলা- চট্টগ্রাম</t>
  </si>
  <si>
    <t>বাশখালী থা:মা: নং- 14(2)25
জি আর নং- 52/25
ধারা- নারী ও শিশু নির্যাতন দমন আইন এর 9(১)</t>
  </si>
  <si>
    <t>শিশু আদালত-1 চট্টগ্রাম</t>
  </si>
  <si>
    <t>27/03/2025
14/05/2025</t>
  </si>
  <si>
    <t>ফোনে 01 বার মায়ের সাথে কথা বলে দেয়া হয়েছে</t>
  </si>
  <si>
    <t xml:space="preserve">মোঃ রাকিব 
পিতা- মোঃ জামাল </t>
  </si>
  <si>
    <t xml:space="preserve">গ্রাম- ঢাকা জাতীয় ষ্টেডিয়াম এলাকায় ভাসমান  
থানা- পল্টন 
জেলা-  ঢাকা  </t>
  </si>
  <si>
    <t xml:space="preserve">পল্টন থা: মা: নং-৩৫(২)২৫
ধারা- ৩৯৩ পিসি  
</t>
  </si>
  <si>
    <t>শিশু আদালত-২
ঢাকা</t>
  </si>
  <si>
    <t>মোঃ নাজমুল ৥ কালু
পিতা- মোঃ সুরূজ মিয়া</t>
  </si>
  <si>
    <t>গ্রাম- দক্ষিন বাইমাইল ঢারালপারা
থানা-আশুলিয়া
জেলা- ঢাকা</t>
  </si>
  <si>
    <t>আশুলিয়া থা:মা: নং- 66(2)25
ধারা- 302/34 পিসি</t>
  </si>
  <si>
    <t>শিশু আদালত-9 ঢাকা</t>
  </si>
  <si>
    <t>ফোনে 02 বার বাবার সাথে কথা বলে দেয়া  হয়েছে এবং 02 বার সাক্ষাৎ করেছে</t>
  </si>
  <si>
    <t xml:space="preserve">মোঃ আসিফ হাসান 
পিতা- আব্দুল হক </t>
  </si>
  <si>
    <t>গ্রাম- কুড়ারঘাট  
থানা- কামরাঙ্গীরচর 
জেলা- ঢাকা</t>
  </si>
  <si>
    <t xml:space="preserve"> (১)কামরাঙ্গীরচর থা: মা: নং-২১(২)২৫
ধারা- ৩৯৩ পিসি 
(২) শিশু মা: নং- ১৬১/২২
কামরাঙ্গীরচর থা: মা: নং-৪৪(৭)২২
ধারা- ৩৯৩ পিসি  
</t>
  </si>
  <si>
    <t>শিশু আদালত-৪
ঢাকা</t>
  </si>
  <si>
    <t>1. সঠিক বয়স উল্লেখের বিষয়ে আদালতে জানানো হয়েছে। ২. চিকিৎসা সেবা প্রদান করা হয়েছে</t>
  </si>
  <si>
    <t>মোঃ মামুনুর রশিদ
পিতা- আবু তাহের</t>
  </si>
  <si>
    <t>বয়স উল্লেখ নেই</t>
  </si>
  <si>
    <t>গ্রাম- মধ্যম মনির ঝিল 2 নং ওয়ার্ড
থানা-রামু
জেলা- কক্সবাজার</t>
  </si>
  <si>
    <t>রামু থা:মা: নং- 13(1)25
জি আর- 13/25
ধারা- 143/342/323/324/325/326/307/302/34 পিসি</t>
  </si>
  <si>
    <t>শিশু আদালত-2 কক্সবাজার</t>
  </si>
  <si>
    <t>1. পরিষ্কার পরিচ্ছন্ন থাকার পরামর্শ ২. বয়স সুনির্দিষ্টকরণের জন্য আদালতে জানানো হয়েছে</t>
  </si>
  <si>
    <t xml:space="preserve">মোঃ সজিব প্রকাশ পিপড়া 
পিতা- আমির </t>
  </si>
  <si>
    <t>গ্রাম- চুন ফুটিয়া আমিনপাড়া  
থানা- দক্ষিন কেরানীগঞ্জ
জেলা- ঢাকা</t>
  </si>
  <si>
    <t xml:space="preserve"> চাদপুর থা: মা: নং-৯৩(৪)২৪
ধারা- ৩৮০/৪১১ পিসি  
</t>
  </si>
  <si>
    <t>শিশু আদালত চাঁদপুর</t>
  </si>
  <si>
    <t xml:space="preserve">১. মোটিভেশনাল কাউন্সেলিং ২. কোর্ট হাজিরা বিষয়ে আদালতে জানানো </t>
  </si>
  <si>
    <t>মোঃ সিয়াম
পিতা- কবির হোসেন ঘোরামী</t>
  </si>
  <si>
    <t>গ্রাম- দক্ষিন ভূতের বাড়ি
থানা- বাবুগঞ্জ
জেলা- বরিশাল</t>
  </si>
  <si>
    <t>হাজারীবাগ থা:মা: নং- 14(12)24
জি আর নং- 376/24
ধারা- নারী ও শিশু নির্যাতন দমন আইন এর 9(১)</t>
  </si>
  <si>
    <t>শিশু আদালত-5 ঢাকা</t>
  </si>
  <si>
    <t>ফোনে 01 বার মায়ের সাথে কথা বলে দেয়া হয়েছে এবং 01 বার সাক্ষাৎ করেছে</t>
  </si>
  <si>
    <t>1. ধৈর্যশীল হওয়ার পরামর্শ দেওয়া হয়েছে</t>
  </si>
  <si>
    <t>মোঃ শামীম মিয়া
পিতা- ফরিদ মিয়া</t>
  </si>
  <si>
    <t>গ্রাম- বেনমথুরা
থানা- বানিয়াচং
জেলা- হবিগঞ্জ</t>
  </si>
  <si>
    <t>বানিয়াচং থা:মা: নং- 10(3)23
জি আর নং- 35/25
ধারা- নারী ও শিশু নির্যাতন দমন আইন এর 9(3)</t>
  </si>
  <si>
    <t>শিশু আদালত-1 হবিগঞ্জ</t>
  </si>
  <si>
    <t xml:space="preserve">ফোনে 02 বার মায়ের সাথে কথা বলে দেয়া হয়েছে </t>
  </si>
  <si>
    <t>১. কাউন্সেলিং প্রদান ২. চিকিৎসা সেবা প্রদান 3. বয়স সুনির্দিষ্টকরণের জন্য আদালতে জানানো হয়েছে</t>
  </si>
  <si>
    <t>মোঃ নোফায়েল মিয়া
পিতা- সাজমান</t>
  </si>
  <si>
    <t>গ্রাম- বেনমথুরা দক্ষিন
থানা- বানিয়াচং
জেলা- হবিগঞ্জ</t>
  </si>
  <si>
    <t xml:space="preserve">ফোনে 02 বার বাবার সাথে কথা বলে দেয়া হয়েছে </t>
  </si>
  <si>
    <t>1. ওকালতনামা স্বাক্ষর ও সত্যায়িত করে প্রেরণ ২. আদালতে জামিনে বিষয়ে কথা বলা হয়েছে</t>
  </si>
  <si>
    <t xml:space="preserve">মোঃ হাসান 
পিতা- নুর আলম 		
		</t>
  </si>
  <si>
    <t>গ্রাম- বুথিদং  
থানা- আরাকান 
জেলা-  মায়ানমার</t>
  </si>
  <si>
    <t>(১)সিদ্দিরগঞ্জ থা: মা: নং-২৯(৩)২৫
ধারা- Foreigners Act 1946-13/14 
(২) সিদ্দিরগঞ্জ থা: মা: নং-২৮(৩)২৫
ধারা- সন্ত্রাস বিরোধ আইন ৬(২)/৮/৯/১০/১২/১৩
(3)কোতয়ালী থা: মা: নং- 75(3)25
জি  আর নং- 255/25
রা- সন্ত্রাস বিরোধ আইন ৬(২)/৮/৯/১০/১২/১৩</t>
  </si>
  <si>
    <t>শিশু আদালত 
নারায়নগঞ্জ</t>
  </si>
  <si>
    <t>ইকবাল হোসেন প্র: বাবু
পিতা- মোঃ আক্তার হোসেন প্র: হযরত আলী -</t>
  </si>
  <si>
    <t>গ্রাম- মশারফ আলী শিকদার পাড়া
থানা- কুতুবদিয়া
জেলা- কক্সবাজার</t>
  </si>
  <si>
    <t>কুতুবদিয়া থা:মা: নং- 16(11)24
জি আর নং- 121/24
ধারা- নারী ও শিশু নির্যাতন দমন আইন এর 9(1)</t>
  </si>
  <si>
    <t>বয়স নির্ধারনের জন্য বিঙ্গ আদালতে পত্র প্রেরণ করা হয়েছে</t>
  </si>
  <si>
    <t>তামিম মিয়া
পিতা- রওশন মিয়া</t>
  </si>
  <si>
    <t>গ্রাম- পার্বতীপুর দক্ষিন
থানা-পিরগঞ্জ
জেলা- রংপুর</t>
  </si>
  <si>
    <t>মুন্সিগঞ্জ থা:মা: নং- 16(2)25
জি আর- 53/25
ধারা-302/34 পিসি</t>
  </si>
  <si>
    <t>শিশু আদালত মুন্সিগঞ্জ</t>
  </si>
  <si>
    <t>9/4/2025
27/5/2025
21/7/2025</t>
  </si>
  <si>
    <t xml:space="preserve">ওকালতনামা স্বাক্ষর ও সত্যায়িত করে প্রেরণ করা হয়েছে </t>
  </si>
  <si>
    <t>মোঃ আকাশ মিয়া
পিতা- পালিশ মিয়া</t>
  </si>
  <si>
    <t>গ্রাম- নন্দী খিলা
থানা- কেন্দুয়া
জেলা- নেত্রকোনা</t>
  </si>
  <si>
    <t>কেন্দুয়া থা:মা: নং- 28(3)25
জি আর নং- 79(2)25
ধারা- নারী ও শিশু নির্যাতন দমন আইন 2000(সং/20) এর 9(3)/30</t>
  </si>
  <si>
    <t>শিশু আদালত নেত্রকোনা</t>
  </si>
  <si>
    <t xml:space="preserve">ফোনে 02 বার ভাই এর সাথে কথা বলে দেয়া হয়েছে </t>
  </si>
  <si>
    <t>১. পরিবারকে কাউন্সেলিং করা হয়েছে ২. শিশুর সাথে পরিবারের স্ক্ষাতের জন্য কাজ করা হচ্ছে</t>
  </si>
  <si>
    <t>মো: ফরিদ  
পিতা- দিদার হোসেন</t>
  </si>
  <si>
    <t>গ্রাম: চরগুল্লাখালী থানা: কবিরহাট জেলা: নোয়াখালী</t>
  </si>
  <si>
    <t>১. কবিরহাট থা:মা:ন: ০১(০৪)২৫ ধারা: নারী  ও শিশু নির্যাতন দমন আইন ২০০০ এর 9(1)/30 ২. কবিরহাট থানা জিডি নং: 1316 তাং: 30/03/25 ধারা ৫৪ পিসি</t>
  </si>
  <si>
    <t>শিশু আদালত-2, নোয়াখালী</t>
  </si>
  <si>
    <t>1. প্রতিষ্ঠানের নিয়ম সম্পর্কে ধারনা দেয়া ২. পরিবারের সাথে যোগাযোগ ৩. আইনজীবী নিয়োগের বিষয়ে পরিবারের সাথে পরামর্শ</t>
  </si>
  <si>
    <t>কাজী সিয়াম
পিতা- কাজী ফরহাদ</t>
  </si>
  <si>
    <t>গ্রাম- প্রকাশ (বার্গার) গাজী স্বরনী
থানা-বাড্ডা
জেলা- ঢাকা</t>
  </si>
  <si>
    <t>বাড্ডা থা:মা: নং- 0(8)24
ধারা- 143/114/323/324/326/307/379/506/302 পিসি</t>
  </si>
  <si>
    <t>ফোনে 01 বার মায়ের সাথে কথা বলে দেয়া  হয়েছে এবং 01 বার সাক্ষাৎ করেছে</t>
  </si>
  <si>
    <t>১. মোটিভেশনাল কউন্সেলিং করা হয়েছৈ। ২. চিকিৎসা সেবা প্রদান ৩. পরিষ্কার পরিচ্ছন্ন থাকার পরামর্শ</t>
  </si>
  <si>
    <t>ইমন দাশ
পিতা- সুমন দাশ</t>
  </si>
  <si>
    <t>গ্রাম- উদালিয়া চা বাগান
থানা- ভুজপুর
জেলা- চট্টগ্রাম</t>
  </si>
  <si>
    <t>ভুজপুর থা:মা: নং- 3(4)24
জি আর নং- 36/25
ধারা- 302পিসি</t>
  </si>
  <si>
    <t>নারী ও শিশু নির্যাতন দমন ট্রাঃ-7 চট্টগ্রাম</t>
  </si>
  <si>
    <t xml:space="preserve">1. পরিষ্কার পরিচ্ছন্ন থাকার পরামর্শ দেওয়া  ২. কাউন্সেলিং করা ৩. ধর্মীয় ও নৈতিক শিক্ষা সম্পর্কে আলোচনা </t>
  </si>
  <si>
    <t>সাউন বিন তোহা আব্দুল্লাহ
পিতা- নুরূল ইসলাম</t>
  </si>
  <si>
    <t>গ্রাম- ছোট বাজার
থানা- নেত্রকোনা সদর
জেলা- নেত্রকোনা</t>
  </si>
  <si>
    <t>নেত্রকোনা মডেল থা:মা: নং- 46(3)25
জি আর নং- 131(২)25
ধারা- 302পিসি</t>
  </si>
  <si>
    <t>ফোনে 02 বার মায়ের সাথে কথা বলে দেয়া  হয়েছে এবং 02 বার সাক্ষাৎ করেছে</t>
  </si>
  <si>
    <t xml:space="preserve">1. পরিষ্কার পরিচ্ছন্ন থাকার পরামর্শ দেওয়া  ২. কাউন্সেলিং করা ৩. আইনজীবীর সাথে যোগাযোগ </t>
  </si>
  <si>
    <t xml:space="preserve">ইমাম হাওলাদার 
পিতা- শান্ত হাওলাদার </t>
  </si>
  <si>
    <t xml:space="preserve">গ্রাম- গুলসাখালী  
থানা- মোরলগঞ্জ
জেলা- বাগেরহাট  </t>
  </si>
  <si>
    <t xml:space="preserve"> দক্ষিন কেরানীগঞ্জ থা: মা: নং-২৩(৩)২৫
ধারা- ৩৯৪ পিসি  
</t>
  </si>
  <si>
    <t>সিনিঃ জুডিঃ ম্যাজি: 
ঢাকা</t>
  </si>
  <si>
    <t>মোঃ রফিকুল ইসলাম মুন্না
পিতা- মোঃ ইমরান হোসেন বাপ্পি</t>
  </si>
  <si>
    <t>গ্রাম- নিমতলী
থানা- সিরাজদীখান
জেলা- মুন্সিগঞ্জ</t>
  </si>
  <si>
    <t>গেন্ডারিয়া থা:মা: নং- 23(5)24
ধারা- 302/380 পিসি</t>
  </si>
  <si>
    <t>30/04/2025</t>
  </si>
  <si>
    <t>ওয়াকিবুল ইসলাম
পিতা- শাহ নেওয়াজ</t>
  </si>
  <si>
    <t>গ্রাম- নজু বাপেরপারা
থানা- কুতুবদিয়া
জেলা- কক্সবাজার</t>
  </si>
  <si>
    <t>কুতুবদিয়া থা:মা: নং- 6(4)25
জি আর নং- 53/25
ধারা- নারী ও শিশু নির্যাতন দমন আইন এর 9(1)</t>
  </si>
  <si>
    <t>মোঃ ফাহিম  
পিতা- আবু বক্কর ছিদ্দিক</t>
  </si>
  <si>
    <t>গ্রাম- উলুহাটি রাজগাতী 
থানা- নান্দাইল 
জেলা- ময়মনসিংহ</t>
  </si>
  <si>
    <t xml:space="preserve">মোহাম্মাদপুর থা: মা: নং-৩৬(৪)২৫
ধারা- আইন শৃঙ্খলা বিঘ্নকারী অপরাধ (দ্রুত বিচার) আইনের এর ৪/৫ 
</t>
  </si>
  <si>
    <t>দ্রুত বিচার</t>
  </si>
  <si>
    <t xml:space="preserve">শিশু আদালত-৬
ঢাকা </t>
  </si>
  <si>
    <t>১. পরিবার খুঁজে বের করা ২. লিগ্যাল এইড উকিল নিয়োগ করা হয়েছে।</t>
  </si>
  <si>
    <t>সবুজ মিয়া
পিতা- শাহজাহান মিয়া</t>
  </si>
  <si>
    <t>গ্রাম- কুড়িহাটিয়া
থানা- বিশ্বম্বপুর
জেলা- সুনামগঞ্জ</t>
  </si>
  <si>
    <t>সদর থা:মা: নং- 28(9)24
ধারা- নারী ও শিশু নির্যাতন দমন আইন 2000 এর 9(2)</t>
  </si>
  <si>
    <t>অতিঃ চীফঃ মেট্রোঃ ম্যাজিঃ গাজীপুর</t>
  </si>
  <si>
    <t>বিচারাধীন লিগ্যার এইড কর্তৃক আইনজীবী নিয়োগ।</t>
  </si>
  <si>
    <t>ফোনে 02 বার বাবার সাথে কথা বলে দেয়া হয়েছে এবং 01 বার সাক্ষাৎ করেছে</t>
  </si>
  <si>
    <t xml:space="preserve">মোটিভেশনাল কাউন্সেলিং করা হয়েছে   </t>
  </si>
  <si>
    <t>আকাশ
পিতা- সারোয়ার হোসেন</t>
  </si>
  <si>
    <t>গ্রাম- গারূগাঁও
থানা- টুংগিবাড়ী
জেলা- মুন্সিগঞ্জ</t>
  </si>
  <si>
    <t>পল্লবী থা:মা: নং- 33(4)25
ধারা- 302/34 পিসি</t>
  </si>
  <si>
    <t>শিশু আদালত -2 ঢাকা</t>
  </si>
  <si>
    <t>মোঃ জুবায়রূল ইসলাম
পিতা- মোঃ আবুল হোসেন</t>
  </si>
  <si>
    <t>গ্রাম- দওর গাঁও
থানা- শিবপুর
জেলা- নরসিংদী</t>
  </si>
  <si>
    <t>শিবপুর থা:মা: নং- 22(9)25
ধারা- 302/34 পিসি</t>
  </si>
  <si>
    <t>নারী ও শিশু নির্যাতন ট্রাঃ- নরসিংদী</t>
  </si>
  <si>
    <t xml:space="preserve">মো: রমজান 
পিতা-মৃত.কিরন  </t>
  </si>
  <si>
    <t xml:space="preserve">গ্রাম- শনিরবিল 
থানা- আদাবর 
জেলা- ঢাকা  </t>
  </si>
  <si>
    <t xml:space="preserve">দারুস সালাম থা: মা: নং-৭(৪)২৫
জি আর নং- ৭৩/২৫
ধারা- ৩৯৩ পিসি </t>
  </si>
  <si>
    <t xml:space="preserve"> শিশু আদালত-৮
ঢাকা  
</t>
  </si>
  <si>
    <t>অভিভাবকের সাথে ফোনে 02 বার কথা বলে দেয়া  হয়েছে এবং 01 বার সাক্ষাৎ করেছে</t>
  </si>
  <si>
    <t>১. সরকারি উকিল নিয়োগ ২. মায়ের সাথে যোগাগ স্থাপনের ব্যবস্থা</t>
  </si>
  <si>
    <t xml:space="preserve">মোঃ রেজাউল করিম রুবেল 
পিতা- মোঃ সেলিম মিয়া </t>
  </si>
  <si>
    <t>গ্রাম- 
থানা- মুগদা
জেলা- ঢাকা</t>
  </si>
  <si>
    <t xml:space="preserve">  মতিঝিল থা: মা: নং-১৭(৪)২৫
ধারা- ৩৯৩ পেনাল কোড 
</t>
  </si>
  <si>
    <t>1.লিগ্যাল এইড আইনজীবী নিয়োগ। ২. পরিবার খুঁজে বের করা হয়েছে। ৩. কাউন্সেলিং চলমান</t>
  </si>
  <si>
    <t>মোঃ ইসমাইল শেখ
পিতা- মোঃ দেলোয়ার হোসেন</t>
  </si>
  <si>
    <t>গ্রাম- কাজির টোলা
থানা- গোবিন্দপুর
জেলা- গোপালগঞ্জ</t>
  </si>
  <si>
    <t>কামরাঙ্গীরচর থা:মা: নং- 22(4)25
ধারা- নারী ও শিশু নির্যাতন দমন আইন এর 9(1)</t>
  </si>
  <si>
    <t>শিশু আদালত-4 ঢাকা</t>
  </si>
  <si>
    <t>জামিনে মুক্তি 11-02-26</t>
  </si>
  <si>
    <t>মোঃ মাহফুজুর রহমান
পিতা- ওয়াজ উদ্দিন</t>
  </si>
  <si>
    <t>গ্রাম- টিলাগাও
থানা- চুনারঘাট
জেলা- হবিগঞ্জ</t>
  </si>
  <si>
    <t>জি আর নং- 100/25
ধারা- নারী ও শিশু নির্যাতন দমন আইন এর 9(1)</t>
  </si>
  <si>
    <t>নারী ও শিশু নির্যাতন দমন ট্রাইঃ-2 হবিগঞ্জ</t>
  </si>
  <si>
    <t>মোঃ রোমান সরকার
পিতা- আমির হোসেন</t>
  </si>
  <si>
    <t>গ্রাম- কাশিমপুর
থানা- হোমনা
জেলা- কুমিল্লা</t>
  </si>
  <si>
    <t>শিশু মা: নং- 64/24
ধারা- নারী ও শিশু নির্যাতন দমন আইন এর 9(1)</t>
  </si>
  <si>
    <t xml:space="preserve">শিশু আদালত-3 কুমিল্লা </t>
  </si>
  <si>
    <t xml:space="preserve">1. ওকালতনামা স্বাক্ষর ও সত্যায়িত করে প্রেরণ 2. মোটিভেশনাল কউন্সেলিং করা 3. চিকিৎসা সেবা প্রদান </t>
  </si>
  <si>
    <t>মোঃ রাকিব 
পিতা- মোঃ আবুল হোসেন</t>
  </si>
  <si>
    <t xml:space="preserve">গ্রাম- এনায়েতপুর
থানা- ফুলবাড়ীয়া 
জেলা- ময়মনসিংহ 
 </t>
  </si>
  <si>
    <t xml:space="preserve">ফুলবাড়ীয়া থা: মা: নং- 4(2)25
শিশু মা: নং- 28/25
ধারা- নারী  ও শিশু নির্যাতন দমন আইন ২০০০ এর 7/9(3) </t>
  </si>
  <si>
    <t xml:space="preserve">
শিশু আদালত ময়মনসিংহ</t>
  </si>
  <si>
    <t xml:space="preserve">১. মোটভেশনাল কাউন্সেলিং </t>
  </si>
  <si>
    <t>মোঃ মনির মিয়া
পিতা- মোঃ মোফাজ্জল হোসেন</t>
  </si>
  <si>
    <t xml:space="preserve">গ্রাম- এনায়েতপুর
থানা- ফুলবাড়ীয়া 
জেলা- ময়মনসিংহ 
 </t>
  </si>
  <si>
    <t>১. মোটভেশনাল কাউন্সেলিং ২. চুলকানির জন্য চিকিংসা প্রদান</t>
  </si>
  <si>
    <t>মোঃ মামুন মিয়া
পিতা- আমির হোসেন</t>
  </si>
  <si>
    <t>গ্রাম- কাকরচর 
নান্দাইল
থানা- নান্দাইল
জেলা- ময়মনসিংহ</t>
  </si>
  <si>
    <t>করিমগঞ্জ থা:মা: নং- 27(4)225
জি আর নং- 99/25
ধারা- 302/201/394/34 পিসি</t>
  </si>
  <si>
    <t>শিশু আদালত -1 কিশোরগঞ্জ</t>
  </si>
  <si>
    <t>ইকবাল হোসেন আদর
পিতা- মোঃ বিল্লাল হোসেন</t>
  </si>
  <si>
    <t>গ্রাম- চরপারা 4 নং ওয়ার্ড
থানা- করিমগঞ্জ
জেলা- কিশোরগঞ্জ</t>
  </si>
  <si>
    <t>মোঃ রিফাত
পিতা- মোঃ আল আমিন</t>
  </si>
  <si>
    <t>গ্রাম- -
থানা- জাজিরা
জেলা- শরীয়তপুর</t>
  </si>
  <si>
    <t>দক্ষিন কেরানীগঞ্জ থা:মা: নং- 67(4)25
জি আর নং- 137/24
ধারা- 302 পিসি</t>
  </si>
  <si>
    <t>ফোনে 02 বার মায়ের সাথে কথা বলে দেয়া  হয়েছে এবং 01 বার সাক্ষাৎ করেছে</t>
  </si>
  <si>
    <t xml:space="preserve">মোঃ জাহিদ হাসান 
পিতা- মোঃ জহিরুল আলম </t>
  </si>
  <si>
    <t>গ্রাম- গৌরিপুর 
থানা- দাউদকান্দি
জেলা- কুমিল্লা</t>
  </si>
  <si>
    <t xml:space="preserve">পাঁচলাইশ থা: মা: নং-৩(৪)২৫
ধারা- ৪৫৭/৩৮০ পিসি  
</t>
  </si>
  <si>
    <t xml:space="preserve">নারী ও শিশু নির্যাতন দমন ট্রাইঃ-৭
চট্রগ্রাম </t>
  </si>
  <si>
    <t xml:space="preserve">মোঃ রকিব @ বাইক্কা
পিতা- হাফেজ মোস্তফা  </t>
  </si>
  <si>
    <t>গ্রাম- নদিরপারা  
থানা- পেকুয়া 
জেলা- কক্সবাজার</t>
  </si>
  <si>
    <t xml:space="preserve">কক্সবাজার সদর থা: মা: নং-৪৯(৪)২৫
জি আর নং- ২২৬/২৫
ধারা- ৩৭৯/৩৪ পিসি 
</t>
  </si>
  <si>
    <t xml:space="preserve"> শিশু আদালত-১
কক্সবাজার</t>
  </si>
  <si>
    <t xml:space="preserve">কলিম উল্ল্যাহ 
পিতা- মুসা </t>
  </si>
  <si>
    <t xml:space="preserve">গ্রাম- তিতাসির পারা
থানা- মহেশখালী
জেলা- কক্সবাজার
 </t>
  </si>
  <si>
    <t xml:space="preserve">মহেশখালী থা: মা: নং-24 (4)25
ধারা- নারী  ও শিশু নির্যাতন দমন আইন ২০০০(সং/03)এর 9(1)/30 </t>
  </si>
  <si>
    <t>শিশু আদালত-2
কক্সবাজার</t>
  </si>
  <si>
    <t>মোঃ ওসমান শেখ
পিতা- মৃত লতিফ শেখ</t>
  </si>
  <si>
    <t>গ্রাম- বড়পুকুরপা
থানা- কৌটালিপাড়া
জেলা- গোপালগঞ্জ</t>
  </si>
  <si>
    <t>সিদ্ধিরগঞ্জ থা:মা: নং- 9(5)25
ধারা- 302/৩4 পিসি</t>
  </si>
  <si>
    <t>সাইফুল ইসলাম
পিতা- মাহাবুবুল হক</t>
  </si>
  <si>
    <t xml:space="preserve">গ্রাম- কাজী জোরপুকুরিয়া
থানা- নাঙ্গকোট
জেলা- কুমিল্লা
 </t>
  </si>
  <si>
    <t xml:space="preserve"> নাঙ্গকোট থা: মা: নং- ()
জি আর-50/25 
ধারা-  নারী  ও শিশু নির্যাতন দমন আইন ২০০০(সং/20)এর 9(2)তৎসহ 201 </t>
  </si>
  <si>
    <t>শিশু আদালত-1
কুমিল্লা</t>
  </si>
  <si>
    <t>সমির তেলী মুন্ডা
পিতা- সিধু তেলী মুন্ডা</t>
  </si>
  <si>
    <t>17 বছর ২ মাস</t>
  </si>
  <si>
    <t xml:space="preserve">গ্রাম- জগদিশপুর
থানা- মাধবপুর
জেলা- হবিগঞ্জ
 </t>
  </si>
  <si>
    <t xml:space="preserve">মাধবপুর থা: মা: নং-41 (4)25
জি আর- 165/25
ধারা- নারী  ও শিশু নির্যাতন দমন আইন ২০০০(সং/03)এর 9(1)  </t>
  </si>
  <si>
    <t>শিশু আদালত
হবিগঞ্জ</t>
  </si>
  <si>
    <t xml:space="preserve">অভিভাবকের সাথে ফোনে 02 বার কথা বলে দেয়া  হয়েছে </t>
  </si>
  <si>
    <t>মোঃ নুর নবী
পিতা- জমির উদ্দিন</t>
  </si>
  <si>
    <t>গ্রাম- হরিরামপুর
থানা- কালীগঞ্জ
জেলা- লালমনিরহাট</t>
  </si>
  <si>
    <t>তুরাগ থা:মা: নং- 27(3)25
জি আর নং- 108
ধারা- 364/302/201/৩4 পিসি</t>
  </si>
  <si>
    <t xml:space="preserve">ম্যাট্রোঃ ম্যাজিঃ ঢাকা </t>
  </si>
  <si>
    <t>১. সবার সাথে ভালো ব্যবহার করার জন্য পরামর্শ প্রদান ২. মোটিভেশনাল কাউন্সেলিং প্রদান</t>
  </si>
  <si>
    <t>তামীম
পিতা- মোঃ সাগর আলী মাঝি</t>
  </si>
  <si>
    <t>গ্রাম- কাশিপুর
থানা- ফতুল্লা
জেলা- নারায়নগঞ্জ</t>
  </si>
  <si>
    <t xml:space="preserve">ফতুল্লা থা:মা: নং- 55(6)24
ধারা- 143/341/323/324/326/ 307/302/506/34 </t>
  </si>
  <si>
    <t>মোঃ গোলাম রাব্বানী খান (তাজ)
পিতা- শাহ কামাল</t>
  </si>
  <si>
    <t>গ্রাম- সেনাংগাল
থানা- সরূপকাটি
জেলা- পিরোজপুর</t>
  </si>
  <si>
    <t>মিরপুর থা:মা: নং- 26(5)25
ধারা- 302/34 পিসি</t>
  </si>
  <si>
    <t>শিশু আদালত-8 ঢাকা</t>
  </si>
  <si>
    <t>১. বিশেষ কাউন্সেলিং প্রদান ২. চিকিৎসা সেবা প্রদান ৩. পরিবারের সাথে বিশেষ  যোগাযোগ রক্ষা</t>
  </si>
  <si>
    <t>মোঃ রাব্বি
পিতা- মোঃ খালেক</t>
  </si>
  <si>
    <t>গ্রাম- দয়াগঞ্জ
থানা- যাত্রাবাড়ী
জেলা- ঢাকা</t>
  </si>
  <si>
    <t>যাত্রাবাড়ী থা:মা: নং- 10(5)25
ধারা- 143/385/302/379/109/ 34 পিসি</t>
  </si>
  <si>
    <t>02/06/2025</t>
  </si>
  <si>
    <t>সাইফুল ইসলাম
পিতা- মোঃ হালিম মিয়া</t>
  </si>
  <si>
    <t xml:space="preserve">গ্রাম- চরদিগলী
থানা- মাধবী
জেলা- নরসিংদী
 </t>
  </si>
  <si>
    <t>খিলগাঁও থা: মা: নং-35 (5)25
ধারা- নারী  ও শিশু নির্যাতন দমন আইন ২০০০ এর 9(1)</t>
  </si>
  <si>
    <t>১. পরিবার খুঁজে বের করা। ২. লিগ্যাল এইড আইনজীবী নিয়োগ</t>
  </si>
  <si>
    <t>মোঃজয়
পিতা- মোঃ জাকির হোসেন</t>
  </si>
  <si>
    <t xml:space="preserve">গ্রাম- মধ্য নন্দিপরা
থানা- খিলগাঁও 
জেলা-ঢকা 
 </t>
  </si>
  <si>
    <t>খিলগাঁও থা: মা: নং-35 (5)25 
ধারা- নারী  ও শিশু নির্যাতন দমন আইন ২০০০ এর 9(1)</t>
  </si>
  <si>
    <t xml:space="preserve">জাহিদুল ইসলাম মুন্না 
পিতা- নুর মোহাম্মাদ  </t>
  </si>
  <si>
    <t xml:space="preserve">গ্রাম- দক্ষিন ডিক্কল  
থানা- কক্সবাজার সদর 
জেলা- কক্সবাজার   </t>
  </si>
  <si>
    <t xml:space="preserve"> জি আর নং- ১৪৬/২৪
ধারা- ৩২৩/৩৬৫/৩৪ পিসি  
</t>
  </si>
  <si>
    <t xml:space="preserve">নারী ও শিশু নির্যাতন দমন ট্রাইঃ- ১
কক্সবাজার  </t>
  </si>
  <si>
    <t>সালমান মিয়া
পিতা- আলী হোসেন</t>
  </si>
  <si>
    <t>গ্রাম- উত্তম মুলাইম
থানা- মৌলভীবাজার সদর
জেলা- মৌলভীবাজার</t>
  </si>
  <si>
    <t>মৌলভীবাজার সদর মডেল থা:মা: নং- 15(4)25
জি আর নং- 106/25
ধারা- 302/34 পিসি</t>
  </si>
  <si>
    <t>শিশু আদালত মৌলভীবাজার</t>
  </si>
  <si>
    <t xml:space="preserve">মোঃ মুজিব 
পিতা- মনির মিয়া 
</t>
  </si>
  <si>
    <t xml:space="preserve">গ্রাম- শাসন গাছা 
থানা- কোতয়ালী মডেল
জেলা- কুমিল্লা </t>
  </si>
  <si>
    <t>কোতয়ালী মডেল থা: মা: নং-৭৫(৪)২৫
জি আর নং- ৩০৬/২৫
ধারা- 15(A) /25 (D) The
Special Act Powers 1974
(২) কোতয়ালী থা: মা: নং- ৪৭(২)২৪
জি আর নং- ৯৪৩/২৪
ধারা- ১৯৭৪ সালের বিশেষ ক্ষমতা আইনের ১৫(৩)/২৫ডি</t>
  </si>
  <si>
    <t>বিশেষ ক্ষমতা আইন</t>
  </si>
  <si>
    <t xml:space="preserve">শিশু আদালত-১
কুমিল্লা </t>
  </si>
  <si>
    <t>১. মোটিভেশনাল কাউন্সেলিং করা ২. চিকিৎসা সেবা প্রদান</t>
  </si>
  <si>
    <t>রিফাত
পিতা- জামার সরদার</t>
  </si>
  <si>
    <t xml:space="preserve">গ্রাম-হাটলক্ষীগঞ্জ 
থানা-মুন্সিগঞ্জ 
জেলা- মুন্সিগঞ্জ
 </t>
  </si>
  <si>
    <t xml:space="preserve">মুন্সিগঞ্জ থা: মা: নং-47 (5)25
জি আর-214/25 
ধারা- নারী  ও শিশু নির্যাতন দমন আইন </t>
  </si>
  <si>
    <t>শিশু আদালত-
মুন্সিগঞ্জ</t>
  </si>
  <si>
    <t xml:space="preserve">মোঃ নাজমুল হাসান রাব্বি
পিতা- মোঃ মাসুম রানা </t>
  </si>
  <si>
    <t>16বছর 
04 মাস</t>
  </si>
  <si>
    <t xml:space="preserve">গ্রাম- চানগাজী
থানা- বুরিচং 
জেলা- কুমিল্লা
 </t>
  </si>
  <si>
    <t>বুরিচংথা: মা: নং- 20(5)25
জি আর- 136/25
ধারা- নারী  ও শিশু নির্যাতন দমন আইন ২০০০(সং/03)এর 9(1)</t>
  </si>
  <si>
    <t>শিশু আদালত-1 কুমিল্লা</t>
  </si>
  <si>
    <t xml:space="preserve">মোঃ শাওন হোসেন 
পিতা- মোঃ আলী মাঝি </t>
  </si>
  <si>
    <t xml:space="preserve">গ্রাম- শেখেরটেক   
থানা- আদাবর
জেলা- ঢাকা </t>
  </si>
  <si>
    <t>শিশু মা: নং- ০৮/২৪
আদাবর থা: মা: নং-২৯(৭)২৩</t>
  </si>
  <si>
    <t xml:space="preserve">শিশু আদালত-৫
ঢাকা </t>
  </si>
  <si>
    <t>বিচারাধীন লিগ্যাল এইড কর্তৃক আইনজীবী নিয়োগ</t>
  </si>
  <si>
    <t>১. আইনজীবী নিয়োগের বিষয়ে পরিবারের সাথে পরামর্শ ২. চিকিৎসাসেবা প্রদান</t>
  </si>
  <si>
    <t xml:space="preserve"> </t>
  </si>
  <si>
    <t>হৃদয় ৥ পাইটু হৃদয়
পিতা- মাহফুজ রহমান মুন্সি</t>
  </si>
  <si>
    <t>গ্রাম- টেংগারচর
থানা- চাটখিল
জেলা- মুন্সিগঞ্জ</t>
  </si>
  <si>
    <t>সিদ্ধিরগঞ্জ থা:মা: নং- 40(5)25
ধারা- 302/34</t>
  </si>
  <si>
    <t>ফোনে 01 বার মায়ের সাথে কথা বলে দেয়া  হয়েছে</t>
  </si>
  <si>
    <t>1. ওকালতনামা স্বাক্ষর ও সত্যায়িত করে প্রেরণ ২. বয়স সুনির্দিষ্টকরণের জন্য আদালতে জানানো হয়েছে</t>
  </si>
  <si>
    <t>মেহেরাব হোসেন অনিক 
পিতা- মোঃ আতিকুর রহমান</t>
  </si>
  <si>
    <t xml:space="preserve">গ্রাম- ৫১০ ব্লক- এ   
থানা- আশুলিয়া 
জেলা- ঢাকা </t>
  </si>
  <si>
    <t xml:space="preserve">  শিশু মা: নং- ১৫৭/২৩
সি আর মা: নং-১১৫৯/২৩
ধারা- ৩২৩/৩৮০/৪২৭/৫০৬ 
</t>
  </si>
  <si>
    <t xml:space="preserve">শিশু আদালত-৯
ঢাকা   </t>
  </si>
  <si>
    <t xml:space="preserve">সাইফুর রহমান তামিম @ মোঃ তামিম আহমেদ 
পিতা- রাজা মিয়া </t>
  </si>
  <si>
    <t>গ্রাম- শেখ ঘাট   
থানা-  কোতয়ালী 
জেলা- সিলেট</t>
  </si>
  <si>
    <t>গোপালগঞ্জ জি আর নং-১১৫/২৫</t>
  </si>
  <si>
    <t>শিশু আদালত সিলেট</t>
  </si>
  <si>
    <t>1. নিয়মিত নামাজ আদায়ের পরামর্শ 2. বয়স সুনির্দিষ্ট করার বিষয়ে আদালতে কথা বলা হয়েছে</t>
  </si>
  <si>
    <t xml:space="preserve">মোঃ শিপন প্র:রিপন 
পিতা- মোঃ ফরিদ আলী প্র: আব্দুল হাকিম  </t>
  </si>
  <si>
    <t xml:space="preserve">গ্রাম- রেলগেইট   
থানা- ফেনী সদর 
জেলা- ফেনী  </t>
  </si>
  <si>
    <t xml:space="preserve"> ফেনী মডেল থা: মা: নং-২২(১০)২৩
জি আর নং- ৫৫৩/২৩
ধারা- ৩৯৯/৪০২ পিসি 
</t>
  </si>
  <si>
    <t>ডাকাতি</t>
  </si>
  <si>
    <t xml:space="preserve"> শিশু আদালত
ফেনী</t>
  </si>
  <si>
    <t>১. কাউন্সেলিং করা হয়েছে ২. জামিনের বিষয়ে আদালতে যোগাযোগ করা হয়েছে</t>
  </si>
  <si>
    <t>মোঃ আনাছ (হিমেল)
পিতা- মোঃ মহসিন</t>
  </si>
  <si>
    <t>গ্রাম- আরামবাগ পানির পাস্প
থানা- সিদ্ধিরগঞ্জ
জেলা- নারায়নগঞ্জ</t>
  </si>
  <si>
    <t>সিদ্ধিরগঞ্জ থা:মা: নং- 7(2)25
ধারা- 144/143/447/448/323/324/325/326/307/379/380/506 সংযোজন 302</t>
  </si>
  <si>
    <t>মোঃ তানিম
পিতা- আল আমিন</t>
  </si>
  <si>
    <t>গ্রাম- ভূইয়াপারা
থানা- সিদ্ধিরগঞ্জ
জেলা- নারায়নগঞ্জ</t>
  </si>
  <si>
    <t>সিদ্ধিরগঞ্জ থা:মা: নং- 7(2)25
ধারা- 144/143/447/448/323/324/325/326/307/379/380/506 সংযোজন 302 পিসি</t>
  </si>
  <si>
    <t xml:space="preserve"> মোঃ অন্তর 
পিতা- মোঃ মিলন মিয়া</t>
  </si>
  <si>
    <t xml:space="preserve">গ্রাম- সাহেদল 
থানা- হোসেনপুর 
জেলা- কিশোরগঞ্জ </t>
  </si>
  <si>
    <t xml:space="preserve">সি আর নং-৩১৮(১)২৫
ধারা- ৩২৩/৩০৭/৩৮০/৫০৬ পিসি  </t>
  </si>
  <si>
    <t>শিশু আদালত-১
কিশোরগঞ্জ</t>
  </si>
  <si>
    <t>সাইফুল ইসলাম
পিতা- আলী হোসেন</t>
  </si>
  <si>
    <t xml:space="preserve">গ্রাম- হাজীরপারা
থানা- উখিয়া
জেলা- কক্সবাজার
 </t>
  </si>
  <si>
    <t xml:space="preserve"> উখিয়া থা: মা: নং-3 (1)25 
ধারা- নারী  ও শিশু নির্যাতন দমন আইন ২০০০ (সং/03)এর 9(1)</t>
  </si>
  <si>
    <t xml:space="preserve">মোঃ রাজু 
পিতা- মোঃ সুজন </t>
  </si>
  <si>
    <t xml:space="preserve">গ্রাম- বিজয় নগর 
থানা- মাধবপুর 
জেলা- হবিগঞ্জ </t>
  </si>
  <si>
    <t xml:space="preserve">তারাইল থা: মা: নং- ১(৬)২৫
জি আর- ৭২/২৫
ধারা- ৩৯৯/৪০২ পিসি  </t>
  </si>
  <si>
    <t xml:space="preserve">শিশু আদালত-২
কিশোরগঞ্জ
</t>
  </si>
  <si>
    <t xml:space="preserve">মোঃ আকাশ 
পিতা- মোঃ মানিক মিয়া </t>
  </si>
  <si>
    <t xml:space="preserve">নেই গ্রাম- লক্ষীপুর 
থানা- ঈশ্বরগঞ্জ
জেলা- ময়মনসিংহ  </t>
  </si>
  <si>
    <t>বিচারাধীন লিগ্যাল িএইড কর্তৃক আইনজীবী নিয়োগ।</t>
  </si>
  <si>
    <t xml:space="preserve">1. পরিবারকে জামিনের বিষয়ে কাউন্সেলিং করা হয়েছে ২. চিকিৎসা সেবা প্রদান </t>
  </si>
  <si>
    <t>মোঃ আরাফাতুর রহমান
পিতা- হাজী মোঃ ইউনুস আলী</t>
  </si>
  <si>
    <t xml:space="preserve">গ্রাম-ছোট বিনাদিয়াপারা 
থানা- শাহজাদপুর
জেলা- সিরাজগঞ্জ
 </t>
  </si>
  <si>
    <t xml:space="preserve">শাহজাদপুর থা: মা: নং-4 (6)25
জি আর-129/25 
ধারা- নারী  ও শিশু নির্যাতন দমন আইন ২০০০(সং/03)এর 9(2)তৎসহ 201/24 পিসি  </t>
  </si>
  <si>
    <t>শিশু আদালত -2
 সিরাজগঞ্জ</t>
  </si>
  <si>
    <t>১. কাউন্সেলিং প্রদান ২. চিকিৎসা সেবা প্রদান 3. নিয়মিত নামাজ আদায়ের পরামর্শ দেওয়া হয়েছে।</t>
  </si>
  <si>
    <t>মোঃ শহিদ মিয়া৥ রাব্বি
পিতা- মোঃ হাকমি মিয়া</t>
  </si>
  <si>
    <t xml:space="preserve">গ্রাম- নিকলি
থানা- 
জেলা-কিশোরগঞ্জ 
 </t>
  </si>
  <si>
    <t>বাজিতপুর থা: মা: নং-5 (6)25
জি আর-93/25 
ধারা-  নারী  ও শিশু নির্যাতন দমন আইন ২০০০ (সং/03)এর 9(4)(খ)</t>
  </si>
  <si>
    <t xml:space="preserve">শিশু আদালত-2 
কিশোরগঞ্জ 
</t>
  </si>
  <si>
    <t>মোঃ জাহিদ হাওলাদার
পিতা- মোঃ ফরহাদ হাওলাদার</t>
  </si>
  <si>
    <t>গ্রাম- নতুন ঘাট
থানা- শিবচর
জেলা- মাদারিপুর</t>
  </si>
  <si>
    <t>কদমতলী থা:মা: নং- 16(6)25
ধারা- 302 পিসি</t>
  </si>
  <si>
    <t>সামির প্রা: কাল্লু 
পিতা- সাদ্দাম হোসেন</t>
  </si>
  <si>
    <t xml:space="preserve"> গ্রাম- মুরাদপুর 
থানা- কোতয়ালী 
জেলা- কুমিল্লা </t>
  </si>
  <si>
    <t xml:space="preserve">কোতয়ালী মডেল থা: মা: নং- ৯(৬)২৫
জি আর- ৪১৯/২৫
ধারা- ৪৬১/৩৮৯/৩৪ পিসি  
</t>
  </si>
  <si>
    <t xml:space="preserve">শিশু আদালত-1
কুমিল্লা 
</t>
  </si>
  <si>
    <t xml:space="preserve">মোঃ সুমন  
পিতা- মৃত: আব্দুর রশিদ </t>
  </si>
  <si>
    <t xml:space="preserve">গ্রাম- মাইজখান 
থানা- চান্দিনা 
জেলা-কুমিল্লা  </t>
  </si>
  <si>
    <t xml:space="preserve">কোতয়ালী মডেল থা: মা: নং- ৯(৬)২৫
জি আর- ৪১৯/২৫
ধারা- ৪৬১/৩৮৯/৩৪ পিসি 
</t>
  </si>
  <si>
    <t xml:space="preserve"> শিশু আদালত-১
কুমিল্লা</t>
  </si>
  <si>
    <t>মোজাহিদ
পিতা- মৃতঃ সেলিম মিয়া</t>
  </si>
  <si>
    <t>গ্রাম- ফাকরচর উত্তর পারা
থানা- ত্রিশাল
জেলা- ময়মনসিংহ</t>
  </si>
  <si>
    <t>ত্রিশাল থা:মা: নং- 9(6)25
জি আর নং- 143/25
ধারা- 302/201/34 পিসি</t>
  </si>
  <si>
    <t xml:space="preserve">মোঃ ফয়সাল 
পিতা- মোঃ ফারুক </t>
  </si>
  <si>
    <t xml:space="preserve">গ্রাম- দিঘনালি 
থানা- মুরাদনগর 
জেলা- কুমিল্লা </t>
  </si>
  <si>
    <t>ডাবলমুরিং থা: মা: নং- ১১(৮)২৪
ধারা- ১৪৩/৪৪৭/৪৪৮/
১৮৬/৩৩২/৩৩৩/৩০৭/৩৭৯/৩৮০/৩৫৩/৪২৭/৪৩৫/৫০৬/৩৪ তৎসহ ১৯৭৪ সালের বিশেষ ক্ষমতা আইনের ১৫(৩)/২৫(ডি)</t>
  </si>
  <si>
    <t xml:space="preserve">শিশু আদালত-৬
চট্রগ্রাম </t>
  </si>
  <si>
    <t>মোহাম্মদ ইয়াছিস
পিতা- খোকন মিয়া</t>
  </si>
  <si>
    <t>গ্রাম- শান্তির হাট ইলিশা
থানা- ভোলা সদর
জেলা- ভোলা</t>
  </si>
  <si>
    <t>হাজারীবাগ থা:মা: নং- 21(6)25
ধারা- 302/323/506</t>
  </si>
  <si>
    <t>১. পরিষ্কার পরিচ্ছন্ন থাকার পরামর্শ দেওয়া হয়েছে  ২. মোটিভেশনাল কউন্সেলিং করা হয়েছৈ।</t>
  </si>
  <si>
    <t>ষ্টার লি রিক্সসন ঘরামী 
পিতা- ভিন সেন্ট ঘরামিী</t>
  </si>
  <si>
    <t xml:space="preserve">গ্রাম- গৌরনদী দক্ষিন বিজয়পুর
থানা- গৌরনদী
জেলা-বরিশাল 
 </t>
  </si>
  <si>
    <t xml:space="preserve"> ভাটারা থা: মা: নং-29 (5)25
ধারা- নারী  ও শিশু নির্যাতন দমন আইন ২০০০ (সং/03)এর 9(1)</t>
  </si>
  <si>
    <t>মেট্রোঃম্যাজিঃ
ঢাকা</t>
  </si>
  <si>
    <t xml:space="preserve">মোঃ মাহিম 
পিতা- মোঃ মৃনাল মিয়া </t>
  </si>
  <si>
    <t>বয়স সুনির্দিষ্ট নেই</t>
  </si>
  <si>
    <t>গ্রাম- খাসিলা 
থানা- জগন্নাথপুর 
জেলা- সুনামগঞ্জ</t>
  </si>
  <si>
    <t>সদর থা: মা: নং-১০(২)২৫
ধারা- ১৪৩/১৪৪/১৪৭/১৪৮/
১৪৯/৩২৩/৩২৬/৩০৭/৩৭৯/৪২৭/১১৪ তৎসহ ১৯০৮বিস্ফোরোক আইন ৩/৩(ক)/৪/৬</t>
  </si>
  <si>
    <t>অতিঃ চীফ মেট্টোঃ ম্যাজিঃ
গাজীপুর</t>
  </si>
  <si>
    <t xml:space="preserve">১. মোটিভেশনাল কাউন্সেলিং করা হয়েছে ২. বয়স সুনির্দিষ্ট করার বিষয়ে আদালতে জানানো হয়েছে    </t>
  </si>
  <si>
    <t>সাইমুন
পিতা- সোলেমান</t>
  </si>
  <si>
    <t>গ্রাম- বিফারপুর
থানা- বুড়িচং
জেলা- কুমিল্লা</t>
  </si>
  <si>
    <t>বুড়িচং থা: মা: নং-১২(৬)২৫
জি আর- ১৬৪/২৫
ধারা- ১৬৪/৩০৭/৫০৬/(২) তৎসহ ৫(খ) এসিড অপরাধ আইন ২০০২</t>
  </si>
  <si>
    <t>শিশু আদালত-২ কুমিল্লা</t>
  </si>
  <si>
    <t>সিয়াম ভূইয়া
পিতা- শুকুর আলী ভূইয়া</t>
  </si>
  <si>
    <t>গ্রাম- দগরীসার
থানা- আশুগঞ্জ
জেলা- ব্রাক্ষণবাড়ীয়া</t>
  </si>
  <si>
    <t>বিজয়নগর থা: মা: নং-৩৩(৬)২৫
জি আর- ২৩৪/২৫
ধারা- ৩৯৬/২০১ পিসি</t>
  </si>
  <si>
    <t>শিশু আদালত-৩
ব্রাক্ষণবাড়ীয়া</t>
  </si>
  <si>
    <t>১. মোটিভেশনাল কাউন্সেলিং করা  ২. জামিনের বিষয়ে আদালতে নিয়মিত যোগাযোগ করা</t>
  </si>
  <si>
    <t>সম্রাট হোসেন শেখ
পিতা- আবুল খায়ের</t>
  </si>
  <si>
    <t>গ্রাম- ব্রক্ষরকাচি
থানা- পিরোজপুর সদর
জেলা- পিরোজপুর</t>
  </si>
  <si>
    <t>যাত্রাবাড়ী থা:মা: নং- 17(9)24
ধারা- 302/34 পিসি
(2) যাত্রাবাড়ী থা:মা: নং- 53(9)25
ধারা- 143/448/323/380/427/ 365/302/34 পিসি
(3) যাত্রাবাড়ী থা:মা: নং- 20(9)24
ধারা- 302/34 পিসি</t>
  </si>
  <si>
    <t>শিশু আদালত ঢাকা</t>
  </si>
  <si>
    <t>1. পরিষ্কার পরিচ্ছন্ন থাকার পরামর্শ ২. বয়স সুনির্দিষ্টকরণের জন্য আদালতে জানানো হয়েছে ৩. ধর্মীয় ও নৈতিক শিক্ষা সম্পর্কে আলোচনা করা হয়েছে।</t>
  </si>
  <si>
    <t xml:space="preserve">মোঃ মজিবুর রহমান 
পিতা- পীর মোহাম্মদ  বয়স </t>
  </si>
  <si>
    <t>গ্রাম- ক্যাম্প- ৮৯
থানা- উখিয়া 
জেলা- কক্সবাজার</t>
  </si>
  <si>
    <t xml:space="preserve">জি আর- ৭৩/২৫
ধারা- ২০১৮ সনের মাদকদ্রব্য নিয়ন্ত্রন আইন এর ৩৬(১) সারনির ১০(ক)/৪১
</t>
  </si>
  <si>
    <t xml:space="preserve"> শিশু আদালত
বান্দরবান</t>
  </si>
  <si>
    <t>এহতাশাম রাফাত নীরব
পিতা- নাছির উদ্দিন</t>
  </si>
  <si>
    <t>16 বছর 08 মাস</t>
  </si>
  <si>
    <t>গ্রাম- পাথরঘাটা
থানা- কোতোয়ালী
জেলা- চট্টগ্রাম</t>
  </si>
  <si>
    <t>বাকলিয়া থা:মা: নং- 3(6)25
ধারা- 302/326/307/109/34 পিসি</t>
  </si>
  <si>
    <t>মেট্রোঃ ম্যাজিঃ চট্টগ্রাম</t>
  </si>
  <si>
    <t xml:space="preserve">মো: জাকারিয়া
পিতা- মো: হামদু মিয়া </t>
  </si>
  <si>
    <t>গ্রাম-  কালিয়াজুরি 
থানা-  কোতায়ালি
জেলা- কুমিল্লা</t>
  </si>
  <si>
    <t xml:space="preserve">শিশু মা: নং- ৯৩/২৪
কোতায়ালি থা: মা: নং-৪৯(১১)২৩
জি আর- ১১৬৫/২৩
ধারা- ২০১৮ সনের মাদকদ্রব্য নিয়ন্ত্রন আইন এর ৩৬(১) সারনির ১৯(গ)
</t>
  </si>
  <si>
    <t xml:space="preserve"> শিশু আদালত-১
কুমিল্লা </t>
  </si>
  <si>
    <t>১. বয়স নির্ধারণের জন্য আদালতে কথা হয়েছে। ২. চিকিৎসা সেবা প্রদান</t>
  </si>
  <si>
    <t>মাহফুজ মিয়া
পিতা- মো: আ: জলিল</t>
  </si>
  <si>
    <t>গ্রাম- দষ্টিপাড়া 
থানা-  শ্রীর্বদী
জেলা- শেরপুর</t>
  </si>
  <si>
    <t xml:space="preserve">টঙ্গীপূর্ব থা: মা: নং-৩১(৬)২৫
ধারা- ২২৪  পিসি </t>
  </si>
  <si>
    <t>নারী  ও শিশু নির্যাতন দমন ট্রাইঃ 
গাজীপুর</t>
  </si>
  <si>
    <t xml:space="preserve">১. মোটিভেশনাল কাউন্সেলিং করা হয়েছে     </t>
  </si>
  <si>
    <t>মুহম্মদ তাঈম হোসেন আসফি
পিতা- মোঃ ইকবাল হোসেন</t>
  </si>
  <si>
    <t>গ্রাম- হাইদগাও
থানা- পটিয়া
জেলা- চট্টগ্রাম</t>
  </si>
  <si>
    <t>পটিয়া থা:মা: নং- 51(4)25
জি আর নং-167/25
ধারা- 302/34 পিসি</t>
  </si>
  <si>
    <t>শিশু আদালত চট্টগ্রাম</t>
  </si>
  <si>
    <t>1. পরিষ্কার পরিচ্ছন্ন থাকার পরামর্শ ২. বয়স সুনির্দিষ্টকরণের জন্য আদালতে জানানো হয়েছে ৩. ধর্মীয় ও নৈতিক শিক্ষা সম্পর্কে আলোচনা</t>
  </si>
  <si>
    <t xml:space="preserve">স্বাধীন 
পিতা- দ্বীন ইসলাম </t>
  </si>
  <si>
    <t xml:space="preserve">গ্রাম- চিকনদী দক্ষিন  
থানা- চিকনদী
জেলা- শরীয়তপুর </t>
  </si>
  <si>
    <t xml:space="preserve">বাড্ডা থা: মা: নং-২৪(৩)২৫
ধারা- ১৪৩/১১৪/৩২৩/
৩২৪/৩২৬/৩০৭/৩৭৯/৫০৬ পিসি  </t>
  </si>
  <si>
    <t xml:space="preserve">মেট্রোঃ ম্যাজিঃ 
ঢাকা 
</t>
  </si>
  <si>
    <t>1. সঠিক বয়স উল্লেখের বিষয়ে আদালতে জানানো হয়েছে। ২.মোটিভেসনাল কাউন্সেলিং করা হয়েছে</t>
  </si>
  <si>
    <t>মোঃ জয়নাল খাঁ
পিতা- মোঃ রবিউল</t>
  </si>
  <si>
    <t xml:space="preserve">গ্রাম- 
থানা-আটপাড়া 
জেলা- নেত্রকোনা
 </t>
  </si>
  <si>
    <t xml:space="preserve">দারুস সালাম থা: মা: নং-6 (7)25
ধারা- নারী  ও শিশু নির্যাতন দমন আইন ২০০০(সং/03)এর 9(1)  </t>
  </si>
  <si>
    <t>শিশু আদালত-8
    ঢাকা</t>
  </si>
  <si>
    <t xml:space="preserve">মোঃ করিম উল্লাহ 
পিতা- মোঃ সুলতান </t>
  </si>
  <si>
    <t xml:space="preserve">গ্রাম- ক্যাম্প-৮ 
থানা- উখিয়া 
জেলা- কক্সবাজার </t>
  </si>
  <si>
    <t xml:space="preserve">নাইক্ষ্যংছড়ি থা: মা: নং-১১(৬)২৫
জি আর- ৭৩/২৫
ধারা- ২০১৮ সনের মাদকদ্রব্য নিয়ন্ত্রন আইন এর ৩৬(১) সারনির ১০(গ)/৪১ 
</t>
  </si>
  <si>
    <t>শিশু আদলত 
বান্দরবান</t>
  </si>
  <si>
    <t xml:space="preserve">মোঃ সেলিম 
পিতা- মোঃ আরমান </t>
  </si>
  <si>
    <t xml:space="preserve">গ্রাম- নবাব কাটরা  
থানা- বংশাল 
জেলা- ঢাকা </t>
  </si>
  <si>
    <t xml:space="preserve">বংশাল থা: মা: নং-৭(৭)২৫
জি আর- ১৮০/২৫
ধারা- ৩৯৩ পিসি </t>
  </si>
  <si>
    <t>শিশু আদালত-1
ঢাকা</t>
  </si>
  <si>
    <t>মোঃ মোস্তাতিম হোসেন নাহিদ
পিতা- গোলাম মর্তুজা</t>
  </si>
  <si>
    <t>গ্রাম- ধাইনগর
থানা- শিবগঞ্জ
জেলা- চাপাইনবাবগঞ্জ</t>
  </si>
  <si>
    <t>তিতাস থা:মা: নং- 22(6)25
জি আর নং-93/25
ধারা- 302/34 পিসি</t>
  </si>
  <si>
    <t>মোঃ আরাফাত হোসেন সোয়াদ
পিতা- মোঃ লিটন</t>
  </si>
  <si>
    <t>গ্রাম- 
থানা- গোন্ডারিয়া
জেলা- ঢাকা</t>
  </si>
  <si>
    <t>গোন্ডারিয়া থা:মা: নং- 10(3)25
ধারা- 302/34 পিসি</t>
  </si>
  <si>
    <t>মোঃ ফয়সাল প্রঃ ভুটা
পিতা- হাবিবুল ইসলাম</t>
  </si>
  <si>
    <t xml:space="preserve">গ্রাম -উত্তর পারা 
থানা- মহেশখালী 
জেলা- কক্সবাজার
 </t>
  </si>
  <si>
    <t>থা: মা: নং- 11/25
ধারা- নারী  ও শিশু নির্যাতন দমন আইন ২০০০এর 9(1)</t>
  </si>
  <si>
    <t>আব্দুল মোনতাসির প্র: বাবু 
পিতা- মোঃ খালেদ</t>
  </si>
  <si>
    <t>গ্রাম- খিলসাদক  
থানা- চকরিয়া 
জেলা- কক্সবাজার</t>
  </si>
  <si>
    <t xml:space="preserve"> চকরিয়া থা: মা: নং-৫১(৬)২৫
জি আর- ৩১৬/২৫
ধারা- ৩৮০/৫১১ </t>
  </si>
  <si>
    <t xml:space="preserve">শিশু আদালত-১ কক্সবাজার
</t>
  </si>
  <si>
    <t xml:space="preserve">মোঃ আজিজুল ইসলাম আহাদ 
পিতা- মোঃ দ্বীন ইসলাম  	
	 	</t>
  </si>
  <si>
    <t>গ্রাম- নাগরপুর  
থানা-  নাগরপুর
জেলা- টাংগাইল</t>
  </si>
  <si>
    <t>সি আর- ২৯৪/২৫</t>
  </si>
  <si>
    <t>শিশু আদালত 
টাংগাইল</t>
  </si>
  <si>
    <t>মোঃ শরিফ 
পিতা- ইউনুস</t>
  </si>
  <si>
    <t xml:space="preserve">গ্রাম- ফেনী রেলওয়ে
থানা- ফেনী
জেলা- ফেনী
 </t>
  </si>
  <si>
    <t xml:space="preserve"> লাকসাম রেলওয়ে থা: মা: নং- 5(7)25
জি আর-2/25 
ধারা-  নারী  ও শিশু নির্যাতন দমন আইন ২০০০এর 9(1)</t>
  </si>
  <si>
    <t>শিশু আদালত-1
ফেনী</t>
  </si>
  <si>
    <t>মোঃ সাব্বির 
পিতা- মোঃ নয়ন</t>
  </si>
  <si>
    <t xml:space="preserve">গ্রাম- বাগানবাড়ী 
থানা- কোতয়ালী মডেল 
জেলা- কুমিল্লা  </t>
  </si>
  <si>
    <t xml:space="preserve"> কোতয়ালী মডেল থা: মা: নং-১৩(১১)২৫
জি আর- ৮২২/২৪
ধারা- ৩৮২/৩৪ পিসি  </t>
  </si>
  <si>
    <t xml:space="preserve">শিশু আদালত-১ কুমিল্লা
</t>
  </si>
  <si>
    <t>মোঃ হাসিবুল 
পিতা- মোঃ লাল বাদশা</t>
  </si>
  <si>
    <t xml:space="preserve">গ্রাম- আদমপুর 
থানা-  নকলা 
জেলা- শেরপুর </t>
  </si>
  <si>
    <t>নকলা থা: মা: নং-১০(৬)২৫
জি আর- ১০৬/২৫
ধারা- ১৪৩/৩২৩/৩২৬/৩০৭/
৫০৬(২)/১১৪/৩৪</t>
  </si>
  <si>
    <t xml:space="preserve">শিশু আদালত
শেরপুর
</t>
  </si>
  <si>
    <t>রাজু আহম্মেদ শান্ত
পিতা- আবুল কালাম</t>
  </si>
  <si>
    <t xml:space="preserve">গ্রাম- পাচগজারীভিটা
থানা- মধুপুর
জেলা- টাংগাইল
 </t>
  </si>
  <si>
    <t>বাসন থা: মা: নং- 17(৭)
25
ধারা- নারী  ও শিশু নির্যাতন দমন আইন ২০০০এর 7/30</t>
  </si>
  <si>
    <t>নারী ও শিশু নির্যাতন দমন  
ট্রাইঃ 
গাজীপুর</t>
  </si>
  <si>
    <t xml:space="preserve">১. পরিবারের ঠিকানা খুঁজে বের করা হয়েছে   ২. মোটিভেশনাল কউন্সেলিং করা হয়েছৈ।              </t>
  </si>
  <si>
    <t>আতিক
পিতা- আশিক আলী</t>
  </si>
  <si>
    <t xml:space="preserve">গ্রাম- টাট্রিডলী
থানা- কুলাউরা
জেলা- মৌলভীবাজার
 </t>
  </si>
  <si>
    <t>কুলাউরা থা: মা: নং-10 (7)25
জি আর- 171/25
ধারা- নারী  ও শিশু নির্যাতন দমন আইন ২০০০এর 7/9(1)</t>
  </si>
  <si>
    <t xml:space="preserve">শিশু আদালত
 মৌলভীবাজার
</t>
  </si>
  <si>
    <t>লাবিব হাসান ফারদি
পিতা- মোঃ গোলাম মাওলা</t>
  </si>
  <si>
    <t xml:space="preserve">গ্রাম- ত্রিশাল পৌরসভা
থানা- ত্রিশাল 
জেলা- ময়মনসিংহ
 </t>
  </si>
  <si>
    <t xml:space="preserve">কোতয়ালী থা: মা: নং-70 (10)24
জি আর- 670/24
ধারা- নারী  ও শিশু নির্যাতন দমন আইন ২০০০এর 7/9(3) </t>
  </si>
  <si>
    <t>মেহেদী হাসান
পিতা- মোঃ লিটন</t>
  </si>
  <si>
    <t xml:space="preserve">গ্রাম- নাজির রোড
থানা-  সদর
জেলা- ফেনী </t>
  </si>
  <si>
    <t xml:space="preserve"> ছাগলনাইয়া থা: মা: নং-১৩(৬)২৫
ধারা- ৪৫৭/৩৮২/৪১১/৩৪
</t>
  </si>
  <si>
    <t xml:space="preserve"> সিনিঃ জুডিঃ ম্যাজিঃ
ফেনী</t>
  </si>
  <si>
    <t>আব্দুল আল মামুন
পিতা- মোঃ আব্দুল আজিজ</t>
  </si>
  <si>
    <t xml:space="preserve"> গ্রাম- পূর্ব শিয়ারচর
থানা-  ফতুল্লা
জেলা- নারায়নগঞ্জ </t>
  </si>
  <si>
    <t>শিশু মা: নং-৬৫/২৫
ধারা-৩২৩/৩৮০/৪২৭ পিসি</t>
  </si>
  <si>
    <t xml:space="preserve">শিশু আদালত নারায়নগঞ্জ
</t>
  </si>
  <si>
    <t>মোঃতরিকুল ইসলাম 
পিতা- মোঃ আবু তাহের</t>
  </si>
  <si>
    <t xml:space="preserve">গ্রাম- নিয়োগীবাড়ী
থানা- সিরাজগঞ্জ
জেলা- সিরাজগঞ্জ
 </t>
  </si>
  <si>
    <t>সিরাজগঞ্জ থা: মা: নং-4 (3)25
জি আর99/25- 
ধারা- ধারা- নারী  ও শিশু নির্যাতন দমন আইন এর  9(3)</t>
  </si>
  <si>
    <t xml:space="preserve">শিশু আদালত -1   সিরাজগঞ্জ </t>
  </si>
  <si>
    <t>জামিনে মুক্তি 27-02-26</t>
  </si>
  <si>
    <t xml:space="preserve">মোঃ রিফাত ৥ অপু 
পিতা- তারেক            </t>
  </si>
  <si>
    <t xml:space="preserve">গ্রাম- চর বিনাই 
থানা- চৌহালী
জেলা- সিরাজগঞ্জ
 </t>
  </si>
  <si>
    <t xml:space="preserve"> নগরপুর থা: মা: নং- 20(7)25
জি আর- 97/25- 
ধারা-  নারী  ও শিশু নির্যাতন দমন আইন ২০০০ এর 9(1) তৎসহ 342/506(2) পিসি</t>
  </si>
  <si>
    <t>শিশু আদালত
টাংগাইল</t>
  </si>
  <si>
    <t>মোঃ ইয়াছিন আরাফাত
পিতা- মৃতঃ শামছুল হক</t>
  </si>
  <si>
    <t>গ্রাম- মরদাসদী
থানা- আড়াইবাজার
জেলা- নারায়নগঞ্জ</t>
  </si>
  <si>
    <t>তেজগাও থা:মা: নং- 9(4)25
ধারা- 302/24</t>
  </si>
  <si>
    <t>শান্ত চন্দ্র দে
পিতা-  প্রণয় চন্দ্র দে</t>
  </si>
  <si>
    <t xml:space="preserve">গ্রাম- গোপালপুর
থানা- বারহাট্রা
জেলা- নেত্রকোনা
 </t>
  </si>
  <si>
    <t xml:space="preserve"> বারহাট্রা থা: মা: নং-17 (7)25
ধারা-  নারী  ও শিশু নির্যাতন দমন আইন ২০০০(সং/20)এর 9(1)  </t>
  </si>
  <si>
    <t>শিশু আদালত
নেএকোনা</t>
  </si>
  <si>
    <t>১. পরিষ্কার পরিচ্ছন্ন থাকার পরামর্শ  ২. মোটিভেশনাল কউন্সেলিং 3. চিকিৎসা সেবা প্রদান</t>
  </si>
  <si>
    <t>অভি রহমান
পিতা- গিয়াস উদ্দিন৥ ইমরান মোল্লা</t>
  </si>
  <si>
    <t>গ্রাম- তৈয়বপুর
থানা- আশুলিয়া
জেলা- ঢাকা</t>
  </si>
  <si>
    <t xml:space="preserve"> আশুলিয়া থা: মা: নং-80 (7)25 
ধারা- নারী  ও শিশু নির্যাতন দমন আইন ২০০০(সং/03)এর 9(3)/30</t>
  </si>
  <si>
    <t>শিশু আদালত ৯ ঢাকা</t>
  </si>
  <si>
    <t xml:space="preserve">মোঃ শাকিব 
পিতা- মোঃ হানিছ হাওলাদার  </t>
  </si>
  <si>
    <t xml:space="preserve">গ্রাম-  
থানা- পটুয়াখালী
জেলা- পটুয়াখালী </t>
  </si>
  <si>
    <t xml:space="preserve"> খিলগাঁও থা: মা: নং-২০(৩)২৫
ধারা- ১৪৩/১৪৭/৩২৪/৩২৬/
৩০৭/১০৯/৩৪ পি সি </t>
  </si>
  <si>
    <t xml:space="preserve">শিশু আদালত-৩
ঢাকা
</t>
  </si>
  <si>
    <t>জামিনে মুক্তি 10-02-26</t>
  </si>
  <si>
    <t>ইমরান
পিতা-  ইকবাল</t>
  </si>
  <si>
    <t xml:space="preserve">গ্রাম- দৈনিক বাংলা মোড়
থানা- মতিঝিল
জেলা- ঢাকা
 </t>
  </si>
  <si>
    <t>মতিঝিল থা: মা: নং-33 (7)25 
ধারা- নারী  ও শিশু নির্যাতন দমন আইন এর 9(3)30</t>
  </si>
  <si>
    <t>শিশু আদালত-6
ঢাকা</t>
  </si>
  <si>
    <t>মোঃ রাকিবুল ইসলাম
পিতা- আবুল হোসেন</t>
  </si>
  <si>
    <t>গ্রাম- দৈনিক বাংলা মোড়
থানা- মতিঝিল
জেলা- ঢাকা</t>
  </si>
  <si>
    <t xml:space="preserve">শাহাৎ
পিতা-মৃত: নাজিম উদ্দিন </t>
  </si>
  <si>
    <t>সাগর
পিতা- অজ্ঞাত</t>
  </si>
  <si>
    <t xml:space="preserve">ছোটন তংচংগ্যা 
পিতা- নিলু তংচংগ্যা </t>
  </si>
  <si>
    <t xml:space="preserve">গ্রাম- আলীকদম 
থানা- আলীগদম 
জেলা- বান্দরবান 
 </t>
  </si>
  <si>
    <t>আলীকদম থা: মা: নং- ৭(৭)২৫
জি আর- ৩৩/২৫ 
ধারা- নারী  ও শিশু নির্যাতন দমন আইন  এর ৯(১)</t>
  </si>
  <si>
    <t xml:space="preserve">শিশু আদালত 
বান্দরবান 
</t>
  </si>
  <si>
    <t xml:space="preserve">১. কাউন্সেলিং প্রদান ২. চিকিৎসা সেবা প্রদান </t>
  </si>
  <si>
    <t xml:space="preserve">মোঃ আকাশ 
পিতা- মোঃ কালাম  </t>
  </si>
  <si>
    <t xml:space="preserve">গ্রাম- চাপাবাজার  
থানা- পিরোজপুর সদর 
জেলা- পিরোজপুর
 </t>
  </si>
  <si>
    <t xml:space="preserve">মোহম্মাদপুর থা: মা: নং-৭(৮)২৫
ধারা- আইন শৃঙ্খলা বিঘ্নকারি অপরাধ দ্রত বিচার আইন সং/২০০২) এর ৪/৫ শিশু </t>
  </si>
  <si>
    <t xml:space="preserve">আদালত-৬
ঢাকা   
</t>
  </si>
  <si>
    <t xml:space="preserve">09-09-25২৫
</t>
  </si>
  <si>
    <t xml:space="preserve">হাবিবুর  রহামান 
পিতা- সাহেব আলী   </t>
  </si>
  <si>
    <t xml:space="preserve">গ্রাম- হাজীনগর  
থানা- দোয়ারাবাজার 
জেলা- সুনামগঞ্জ 
 </t>
  </si>
  <si>
    <t xml:space="preserve">দোয়ারাবাজার থা: মা: নং-২২(৫)২৫
জি আর- ১২২/২৫
ধারা- ১৪৩/৪৪৭/৩২৭/৩২৬/
৩০৭/৩০২/১১৪/৩৪ পি সি  </t>
  </si>
  <si>
    <t xml:space="preserve">শিশু আদালত
সুনামগঞ্জ 
</t>
  </si>
  <si>
    <t>১. পরিষ্কার পরিচ্ছন্ন থাকার পরামর্শ ২. মোটিভেশনাল কউন্সেলিং 3. কোর্ট হাজিরা নিয়মিতকরণের লক্ষে কাজ করা</t>
  </si>
  <si>
    <t>মোফাজ্জল হোসেন 
পিতা- আকবর আলী</t>
  </si>
  <si>
    <t xml:space="preserve">গ্রাম- হাজীনগর  
থানা- দোয়ারাবাজার 
জেলা- সুনামগঞ্জ
 </t>
  </si>
  <si>
    <t>দোয়ারাবাজার থা: মা: নং-২২(৫)২৫
জি আর- ১২২/২৫
ধারা- ১৪৩/৪৪৭/৩২৭/৩২৬/
৩০৭/৩০২/১১৪/৩৪ পি সি</t>
  </si>
  <si>
    <t xml:space="preserve">শিশু আদালত
সুনামগঞ্জ
</t>
  </si>
  <si>
    <t xml:space="preserve">মোঃ ইসমাইল 
পিতা- শাহিনুর মোল্লা   </t>
  </si>
  <si>
    <t xml:space="preserve">গ্রাম- উলাহিল চরপারা  
থানা-  ধামরাই 
জেলা- ঢাকা
 </t>
  </si>
  <si>
    <t>ধামরাই থা: মা: নং-৩৬(৭)২৫
ধারা- নারী  ও শিশু নির্যাতন দমন আইন এর ৯(১)</t>
  </si>
  <si>
    <t xml:space="preserve">নারী  ও শিশু নির্যাতন দমন ট্রাইঃ-৯
ঢাকা
</t>
  </si>
  <si>
    <t>১. দলগত কাউন্সেলিং ২. নিয়মিত নামাজ পড়ার পরামর্শ প্রদান</t>
  </si>
  <si>
    <t xml:space="preserve">মোঃ জীবন শেখ 
পিতা- মোঃ তাহের শেখ </t>
  </si>
  <si>
    <t xml:space="preserve">গ্রাম- উত্তরপাইক পারা  
থানা-  টংগীবাড়ী 
জেলা- মুন্সিগঞ্জ 
 </t>
  </si>
  <si>
    <t xml:space="preserve">টংগীবাড়ী থা: মা: নং-১১(৪)২৫
জি আর- ৭৬/২৫
ধারা- নারী  ও শিশু নির্যাতন দমন আইন ২০০০(সং/০৩) এর ৯(৩)/৩০ তৎসহ
৮(১)/৮(৬)/৮(৭)
পর্ণোগ্রাফী নিয়ন্ত্রন আইন </t>
  </si>
  <si>
    <t xml:space="preserve">সিনিঃ জুডিঃ
ম্যাজিঃ
মুন্সিগঞ্জ  
</t>
  </si>
  <si>
    <t>জামিনে মুক্তি 18-02-26</t>
  </si>
  <si>
    <t xml:space="preserve">মোঃ আপন বেপারী 
পিতা- মোঃ আনোয়ার বেপারী </t>
  </si>
  <si>
    <t>টংগীবাড়ী থা: মা: নং-১১(৪)২৫
জি আর- ৭৬/২৫
ধারা- নারী  ও শিশু নির্যাতন দমন আইন ২০০০(সং/০৩) এর ৯(৩)/৩০ তৎসহ
৮(১)/৮(৬)/৮(৭)
পর্ণোগ্রাফী নিয়ন্ত্রন আইন</t>
  </si>
  <si>
    <t xml:space="preserve">মোঃ সাকিব 
পিতা- মোঃ মিন্টু মিয়া </t>
  </si>
  <si>
    <t xml:space="preserve">গ্রাম- মুরদিপুর 
থানা-  কোতয়ালী মডেল 
জেলা- কুমিল্লা 
 </t>
  </si>
  <si>
    <t>কোতয়ালী মডেল থা: মা: নং-৭৫(৪)২৫
জি আর- ৩০৬/২৫
ধারা- ১৯৭৪ সালের বিশেষ ক্ষমতা আইনের ১৫(৩)/২৫ডি</t>
  </si>
  <si>
    <t xml:space="preserve">শিশু আদালত-১
কুমিল্লা
</t>
  </si>
  <si>
    <t xml:space="preserve"> ০৬/০৮/২৫</t>
  </si>
  <si>
    <t xml:space="preserve">মোঃ ইয়াহিয়া 
পিতা- আঃ হালিম ভূইয়া পিন্টু  </t>
  </si>
  <si>
    <t xml:space="preserve">গ্রাম- মদনপুর 
থানা- বন্দর
জেলা- নারায়নগঞ্জ 
 </t>
  </si>
  <si>
    <t xml:space="preserve">নারায়নগঞ্জ থা: মা: নং-৩(৮)২৫
ধারা- নারী  ও শিশু নির্যাতন দমন আইন ২০০০ এর ৯(১) </t>
  </si>
  <si>
    <t xml:space="preserve"> শিশু আদালত
নারায়নগঞ্জ
</t>
  </si>
  <si>
    <t>জামিনে মুক্তি 05-02-26</t>
  </si>
  <si>
    <t xml:space="preserve">মোঃ জনি 
পিতা- দেলোয়ার হোসেন </t>
  </si>
  <si>
    <t xml:space="preserve"> গ্রাম- মগডেইল  
থানা-  মহেশখালী 
জেলা- কক্সবাজার
 </t>
  </si>
  <si>
    <t>চকরিয়া থা: মা: নং-২(৮)২৫
জি আর- ৩৭৪/২৫
ধারা- ২০১৮ সনের মাদকদ্রব্য নিয়ন্ত্রন আইন এর ৩৬(১) সারনির ২৪(ক)/৩৮</t>
  </si>
  <si>
    <t xml:space="preserve">শিশু আদালত-১
কক্সবাজার
</t>
  </si>
  <si>
    <t xml:space="preserve">আবুল হাসেম 
পিতা- মৃত: মোহাম্মাদ মিয়া </t>
  </si>
  <si>
    <t xml:space="preserve">গ্রাম-  মন্ডালাধর 
থানা- লোহাহারা 
জেলা- চট্রগ্রাম 
 </t>
  </si>
  <si>
    <t xml:space="preserve">লোহাহারা থা: মা: নং- 26(9)22
শিশু মা: নং- 45/23
ধারা- নারী  ও শিশু নির্যাতন দমন আইন ২০০০ এর ৯(১)/৯(৪)(খ)/৩০ </t>
  </si>
  <si>
    <t xml:space="preserve">শিশু আদালত-2
চট্রগ্রাম </t>
  </si>
  <si>
    <t xml:space="preserve">আবু রায়হান 
পিতা- বাবুল ইসলাম </t>
  </si>
  <si>
    <t xml:space="preserve">গ্রাম- দারোগা 
থানা- চান্দিনা 
জেলা- কুমিল্লা </t>
  </si>
  <si>
    <t>চান্দিনা থা: মা: নং- 11(8)25
জি আর- 117/25
ধারা- নারী  ও শিশু নির্যাতন দমন আইন ২০০০ এর 9(4)(খ)</t>
  </si>
  <si>
    <t>সন্ত্রাস বিরোধী আইন</t>
  </si>
  <si>
    <t xml:space="preserve">শিশু আদালত- 2
কুমিল্লা </t>
  </si>
  <si>
    <t xml:space="preserve">জোবায়দুল ইসলাম রনি 
পিতা- মৃত: জাফর আহম্মদ </t>
  </si>
  <si>
    <t xml:space="preserve">গ্রাম- মনিবুল্লাপুর 
থানা- বেগমগঞ্জ
জেলা- নোয়াখালী </t>
  </si>
  <si>
    <t xml:space="preserve">বেগমগঞ্জ থা: মা: নং- 13(6)25
জি আর- 171/25
ধারা- 302/34 পি সি </t>
  </si>
  <si>
    <t xml:space="preserve">সিনিঃ জুডিঃ ম্যাজিঃ আমলী আদালত 
নোয়াখালী </t>
  </si>
  <si>
    <t>1. প্রতিষ্ঠানের নিয়ম সম্পর্কে ধারনা দেয়া হয়েছে। ২. উকিল নিয়েগের বিষয়ে পরিবারকে পরামর্শ প্রদান</t>
  </si>
  <si>
    <t xml:space="preserve">সামছুল হাসান ফাহিম 
পিতা-  আঃ গফুর </t>
  </si>
  <si>
    <t>গ্রাম- কামারবন্দ 
থানা- তাহিরপুর 
জেলা- সুনামগঞ্জ</t>
  </si>
  <si>
    <t>সি আর নং- 180/25
ধারা- 323/379/506(!!)</t>
  </si>
  <si>
    <t>তলবমতে</t>
  </si>
  <si>
    <t xml:space="preserve">আব্দুল করিম রুহান 
পিতা-  মৃত: আব্দুল ছাত্তার </t>
  </si>
  <si>
    <t xml:space="preserve">গ্রাম- সিদ্দেশ্বর পুর 
থানা- কমলগঞ্জ
জেলা- মৌলভীবাজার </t>
  </si>
  <si>
    <t xml:space="preserve">কমলগঞ্জ থা: মা: নং-5(8)25
ধারা- 302/34 পি সি </t>
  </si>
  <si>
    <t xml:space="preserve">শিশু আদালত 
মৌলভীবাজার </t>
  </si>
  <si>
    <t>১. প্রতিষ্ঠান সম্পর্কে ধারনা প্রদান ২. একক কাউন্সেলিং প্রদান</t>
  </si>
  <si>
    <t xml:space="preserve">মোঃ ইমন হোসেন 
পিতা- আবু তাহের </t>
  </si>
  <si>
    <t xml:space="preserve">গ্রাম- ইসলামপুর 
থানা- ভূজপুর 
জেলা- চট্রগ্রাম </t>
  </si>
  <si>
    <t>ভূজপুর থা: মা: নং- 7(7)25
জি আর- 91/25
ধারা- নারী  ও শিশু নির্যাতন দমন আইন ২০০০ এর 7/30</t>
  </si>
  <si>
    <t xml:space="preserve">শিশু আদালত -7
চট্রগ্রাম </t>
  </si>
  <si>
    <t>1. প্রতিষ্ঠানের নিয়ম সম্পর্কে ধারনা দেয়া হয়েছে  ২. কাউন্সেরিং করা হয়েছে</t>
  </si>
  <si>
    <t xml:space="preserve">মোঃ সানি হোসেন 
পিতা-  জাবেদ হোসেন </t>
  </si>
  <si>
    <t xml:space="preserve">গ্রাম- 
থানা- মোহাম্মদপুর  
জেলা- ঢাকা </t>
  </si>
  <si>
    <t>মোহাম্মপুর থা: মা: নং- 57(8)25
ধারা- বিস্ফোরোক উপাদানবলী আইন 1908</t>
  </si>
  <si>
    <t>বিস্ফোরক দ্রব্য</t>
  </si>
  <si>
    <t xml:space="preserve">শিশু আদালত-6 
ঢাকা </t>
  </si>
  <si>
    <t>মোঃ তামিম 
পিতা-  আবু কালাম</t>
  </si>
  <si>
    <t xml:space="preserve">গ্রাম- নাজিরপুর 
থানা- লালমোহন 
জেলা- ভোলা </t>
  </si>
  <si>
    <t xml:space="preserve">বন্দর থা: মা: নং- 3(5)25
ধারা- 399/402 পি সি </t>
  </si>
  <si>
    <t xml:space="preserve">শিশু আদালত-5
চট্রগ্রাম </t>
  </si>
  <si>
    <t>জামিনে মুক্তি 17-02-26</t>
  </si>
  <si>
    <t xml:space="preserve">মোঃ রাকিব প্র: রবিউল 
পিতা-  মোঃ জামাল </t>
  </si>
  <si>
    <t xml:space="preserve">গ্রাম- সল্টগোলা ক্রসিং
থানা- বন্দর 
জেলা- টট্রগ্রাম </t>
  </si>
  <si>
    <t xml:space="preserve">রিয়াদ মুন্সি 
পিতা-  শহিদ ফরাজী </t>
  </si>
  <si>
    <t xml:space="preserve">গ্রাম- সাতুরিয়া 
থানা- রাজাপুর  
জেলা- ঝালকাটি </t>
  </si>
  <si>
    <t>তেজগাঁও থা: মা: নং-28(8)25
ধারা- নারী  ও শিশু নির্যাতন দমন আইন ২০০০ এর 9(4)(খ)</t>
  </si>
  <si>
    <t xml:space="preserve">আল মাহমুদ নয়ন 
পিতা- মোঃ আল আমিন </t>
  </si>
  <si>
    <t xml:space="preserve">গ্রাম- বড়গল 
থানা- জালালাবাদ 
জেলা- সিলেট </t>
  </si>
  <si>
    <t xml:space="preserve">জালালাবাদ থা: মা: নং-11(8)22
জি আর- 102/25
ধারা- 302/34 পি সি </t>
  </si>
  <si>
    <t xml:space="preserve">শিশু আদালত
সিলেট </t>
  </si>
  <si>
    <t xml:space="preserve">মোঃ ফাহিম 
পিতা- মোঃ শহিদ </t>
  </si>
  <si>
    <t xml:space="preserve">গ্রাম- ইসলামপুর 
থানা- সদর 
জেলা- খাগড়াছড়ি </t>
  </si>
  <si>
    <t xml:space="preserve">সদর থা: মা: নং-6(8)25
জি আর- 71/25
ধারা- 379/411 পি সি 
(2) খাগড়াছড়ি সদর থা: মা: নং- 1(8)25
জি আর নং- 66/25
ধারা- 457/380
(3) সদর থা: মা: নং- 1(7)25
জি আর নং- 58/25
ধারা- 380/457 পি সি </t>
  </si>
  <si>
    <t>শিশু আদালত
খাগড়াছড়ি</t>
  </si>
  <si>
    <t>02/09/2025
07/09/2025
15/09/2025</t>
  </si>
  <si>
    <t>1. প্রতিষ্ঠানের নিয়ম সম্পর্কে ধারনা দেয়া ২. কাউন্সেলিং করা</t>
  </si>
  <si>
    <t xml:space="preserve">মোঃ ইয়াছিন আরাফাত রানা 
পিতা- মামুনুর রশিদ প্র: জুয়েল  </t>
  </si>
  <si>
    <t xml:space="preserve">গ্রাম- মানিকছরি 
থানা- কোতয়ালী 
জেলা- রাঙ্গামাটি </t>
  </si>
  <si>
    <t xml:space="preserve">সদর থা: মা: নং- 6(8)25
জি আর- 71/25
ধারা- 399/411
(2) সদর থা: মা: নং- 1(8)25
জি আর- 58/25
ধারা- 457/380
(3) সদর থা: মা: নং- 1(8)25
জি আ নং- 66/25
ধারা- 457/380 </t>
  </si>
  <si>
    <t>02/09/2025
15/09/2025
15/09/2026</t>
  </si>
  <si>
    <t xml:space="preserve">মোঃ সাদেক 
পিতা-  নুর মোহাম্মাদ </t>
  </si>
  <si>
    <t xml:space="preserve">গ্রাম- পশ্চিম শহিদনগর 
থানা- বায়োজিদ বোস্তামি 
জেলা- চট্রগ্রাম </t>
  </si>
  <si>
    <t xml:space="preserve">বায়োজিদ বোস্তামিথা: মা: নং- 24(8)25
জি আর- 392/25
ধারা- 392 পি সি </t>
  </si>
  <si>
    <t xml:space="preserve">শিশু আদালত-6
চট্রগ্রাম </t>
  </si>
  <si>
    <t>কাউন্সিলিং করা হয়েছে অভিভাবকের সাথে ফোনে 02 বার কথা বলে দেয়া  হয়েছে এবং 02 বার সাক্ষাৎ করেছে</t>
  </si>
  <si>
    <t xml:space="preserve">মোঃ আবু হানিফ ৥ বুলেট 
পিতা- মোঃ মোশারফ   </t>
  </si>
  <si>
    <t xml:space="preserve">গ্রাম- পরমেশ্বরদী 
থানা- বোয়ালমারী 
জেলা- ফরিদপুর </t>
  </si>
  <si>
    <t xml:space="preserve">শাহ আলী থা: মা: নং-10(8)25
ধারা- 143/341/323/326/
307/506 পি সি  </t>
  </si>
  <si>
    <t xml:space="preserve">শিশু আদালত-8
ঢাকা </t>
  </si>
  <si>
    <t xml:space="preserve">মোঃ সিয়াম আলী 
পিতা-  মোঃ বুলবুল আহম্মেদ  </t>
  </si>
  <si>
    <t xml:space="preserve">গ্রাম- চকরঘুনাথপুর 
থানা- নকলা 
জেলা- শেরপুর </t>
  </si>
  <si>
    <t>নকলা জি আর- 133/24 
ধারা- 323/326/307/
506/(2)/302/34</t>
  </si>
  <si>
    <t xml:space="preserve">শিশু আদালত
শেরপুর </t>
  </si>
  <si>
    <t xml:space="preserve">রায়হার মিয়া 
পিতা- মোঃ বজলুমিয়া </t>
  </si>
  <si>
    <t xml:space="preserve">গ্রাম- বিরাজনগর 
থানা- শিবপুর 
জেলা- নরসিংদী </t>
  </si>
  <si>
    <t>জি আর- 229/25
ধারা- নারী  ও শিশু নির্যাতন দমন আইন ২০০০ এর 7/9(1)/30</t>
  </si>
  <si>
    <t xml:space="preserve">শিশু আদালত
হবিগঞ্জ </t>
  </si>
  <si>
    <t xml:space="preserve">মোঃ রাজিব ৥ রাজু 
পিতা- শাহজাহান </t>
  </si>
  <si>
    <t>গ্রাম- সাহরাইল 
থানা- সিংগাইর
জেলা- মানিকগঞ্জ</t>
  </si>
  <si>
    <t xml:space="preserve">সিংগাইর থা: মা: নং-23(5)25
জি আর- 169/25
ধারা- 143/342/323
/302/34 পি সি </t>
  </si>
  <si>
    <t>শিশু আদালত
মানিকগঞ্জ</t>
  </si>
  <si>
    <t xml:space="preserve">রাসেল 
পিতা- আব্দু শুক্কুর  </t>
  </si>
  <si>
    <t xml:space="preserve">গ্রাম- পশ্চিমমরিচ্যা গুরু বাজার 
থানা- উখিয়া 
জেলা- কক্সবাজার </t>
  </si>
  <si>
    <t>উখিয়া থা: মা: নং-43(8)25
জি আর- 429/25
ধারা- ২০১৮ সনের মাদকদ্রব্য নিয়ন্ত্রন আইন এর ৩৬(১) এর 24(ক)</t>
  </si>
  <si>
    <t xml:space="preserve">শিশু আদালত-3
কক্সবাজার </t>
  </si>
  <si>
    <t xml:space="preserve">নুরল আফছার 
পিতা-  ফিরোজ আহম্মদ </t>
  </si>
  <si>
    <t xml:space="preserve">গ্রাম- খুরের মুখ জিরো পয়েন্ট 
থানা- টেকনাফ 
জেলা- কক্সবাজার </t>
  </si>
  <si>
    <t>টেকনাফ মডেল থা: মা: নং-74(7)25
জি আর- 504/25(টি)
ধারা- ২০১৮ সনের মাদকদ্রব্য নিয়ন্ত্রন আইন এর ৩৬(১) এর 10(গ)/38/41</t>
  </si>
  <si>
    <t xml:space="preserve">সিনি: জুডি: ম্যাজি: আমলী আদালত কক্সবাজার </t>
  </si>
  <si>
    <t xml:space="preserve">মোঃ আকিল 
পিতা- নুর হোসেন </t>
  </si>
  <si>
    <t xml:space="preserve">মোঃ শওকত আলম 
পিতা-  আব্দুস সালম </t>
  </si>
  <si>
    <t xml:space="preserve">১. চিকিৎসা সেবা প্রদান ২. বিশেষ কাউন্সেলিং প্রদান ৩.  প্রতিষ্ঠানের নিয়ম সম্পর্কে ধারনা দেয়া হয়েছে </t>
  </si>
  <si>
    <t xml:space="preserve">জিসান 
পিতা- মোঃ কামাল হোসেন  </t>
  </si>
  <si>
    <t xml:space="preserve">গ্রাম- ধলা দিয়া সাইনবোর্ড
থানা- শ্রীপুর 
জেলা- গাজীপুর </t>
  </si>
  <si>
    <t>শ্রীপুর থা: মা: নং-17(6)25
জি আর- 294/25
ধারা- নারী  ও শিশু নির্যাতন দমন আইন ২০০০ এর 7/30</t>
  </si>
  <si>
    <t xml:space="preserve">সিনি: জুডি: ম্যাজি: আমলী আদালত গাজীপুর </t>
  </si>
  <si>
    <t>অভিভাবকের সাথে ফোনে 01 বার কথা বলে দেয়া  হয়েছে এবং 01 বার সাক্ষাৎ করেছে</t>
  </si>
  <si>
    <t>জামিনে মুক্তি 19-02-26</t>
  </si>
  <si>
    <t xml:space="preserve">ক্যাসাই ওয়াং মার্মা 
পিতা- আহ্লা মার্মা </t>
  </si>
  <si>
    <t xml:space="preserve">গ্রাম- পাইন্দু হেডম্যানপারা 
থানা- রুমা 
জেলা- বান্দরবান </t>
  </si>
  <si>
    <t>রুমা থা: মা: নং-2(8)25
জি আর- 8/25
ধারা- নারী  ও শিশু নির্যাতন দমন আইন ২০০০ এর 9(3)/30</t>
  </si>
  <si>
    <t>শিশু আদালত 
বান্দরবান</t>
  </si>
  <si>
    <t xml:space="preserve">উহাই সিং মার্মা 
পিতা- থোয়াইচিং মার্মা </t>
  </si>
  <si>
    <t xml:space="preserve">মোঃ রিফাত মিয়া 
পিতা- মাহবুব হোসেন বাবু </t>
  </si>
  <si>
    <t xml:space="preserve">গ্রাম- চরসিকান্দার 
থানা- রামগাতি 
জেলা- লক্ষীপুর </t>
  </si>
  <si>
    <t xml:space="preserve">মিরপুর থা: মা: নং-38(8)25
ধারা- 445/380 পি সি  </t>
  </si>
  <si>
    <t xml:space="preserve">শিশু আদালত-8 
ঢাকা </t>
  </si>
  <si>
    <t>নিশাত উদ্দিন 
পিতা- মুক্তার আলম</t>
  </si>
  <si>
    <t xml:space="preserve">গ্রাম- মহেশখালী 
থানা- মহেশখালী 
জেলা- কক্সবাজার </t>
  </si>
  <si>
    <t>কোতয়ালী থা: মা: নং-16(4)25
ধারা- বিশেষ ক্ষমতা আইনের 15(3)/25(ডি)</t>
  </si>
  <si>
    <t xml:space="preserve">শিশু আদালত-1
চট্রগ্রাম </t>
  </si>
  <si>
    <t xml:space="preserve">মোঃ সাব্বির 
পিতা-  মোঃ রাজু </t>
  </si>
  <si>
    <t xml:space="preserve">গ্রাম- চান্দ খালী 
থানা- বরগুনা 
জেলা- বরিশাল </t>
  </si>
  <si>
    <t>সাভার থা: মা: নং-42(7)25
ধারা- নারী  ও শিশু নির্যাতন দমন আইন ২০০০ এর 9(3)/30</t>
  </si>
  <si>
    <t xml:space="preserve">শিশু আদালত-9 
ঢাকা </t>
  </si>
  <si>
    <t xml:space="preserve">নাইম 
পিতা-আয়ুব আলী মুন্সি   </t>
  </si>
  <si>
    <t xml:space="preserve">গ্রাম- উত্তমপুর 
থানা- বাকেরগঞ্জ
জেলা- বরিশাল </t>
  </si>
  <si>
    <t xml:space="preserve">হাজারীবাগ থা: মা: নং-28(5)25 
ধারা- 302/34 পি সি </t>
  </si>
  <si>
    <t xml:space="preserve">মেট্রোঃ ম্যাজিঃ 
ঢাকা </t>
  </si>
  <si>
    <t>অভিভাবকের সাথে ফোনে 02 বার কথা বলে দেয়া  হয়েছে এবং 0১ বার সাক্ষাৎ করেছে</t>
  </si>
  <si>
    <t xml:space="preserve">মিন্টু চন্দ্র দাশ 
পিতা-  যতেন্দ্র চন্দ্র দাশ </t>
  </si>
  <si>
    <t xml:space="preserve">গ্রাম- সতিসা 
থানা- গৌরিপুর 
জেলা- ময়মনসিংহ </t>
  </si>
  <si>
    <t xml:space="preserve">শিশু মা: নং- 126/25
গৌরিপুর থা: মা: নং-6(10)23
জি আর- 207/23(ক)
ধারা- 134/341/323/324/
326/307/506/34 পি সি </t>
  </si>
  <si>
    <t>শিশু আদালত
ময়মনসিংহ</t>
  </si>
  <si>
    <t xml:space="preserve">মোঃ জাহিদুল ইসলাম ৥ জাহিদুল কবিরাজ 
পিতা- আব্দুল ওহাব </t>
  </si>
  <si>
    <t xml:space="preserve">গ্রাম- চরশিমুলচরা 
থানা- শ্রীবরদী 
জেলা- শেরপুর </t>
  </si>
  <si>
    <t xml:space="preserve">শিশু মা: নং- 91/25
থা: মা: নং-18(2)24
জি আর- 38/24
ধারা- 143/341/447/323/302/427/34 পি সি </t>
  </si>
  <si>
    <t>জামিনে মুক্তি 02-02-26</t>
  </si>
  <si>
    <t xml:space="preserve">মোঃ আবুল কাশেম প্র: কালু 
পিতা- হোসেন আহম্মেদ  </t>
  </si>
  <si>
    <t xml:space="preserve">গ্রাম- ইসলামপুর  
থানা- কক্সবাজার 
জেলা- কক্সবাজার </t>
  </si>
  <si>
    <r>
      <t xml:space="preserve">সদর থা: মা: নং-36(8)25
জি আর- 440/25
ধারা- </t>
    </r>
    <r>
      <rPr>
        <sz val="12"/>
        <color theme="1"/>
        <rFont val="Times New Roman"/>
        <family val="1"/>
      </rPr>
      <t>19(A) Arms Act 1878</t>
    </r>
  </si>
  <si>
    <t>অস্ত্র মামলা</t>
  </si>
  <si>
    <t xml:space="preserve">শিশু আদালত-1
কক্সবাজর </t>
  </si>
  <si>
    <t>অভিভাবকের সাথে  01 বার ফোনালাপ</t>
  </si>
  <si>
    <t xml:space="preserve">মোঃ ইমরান 
পিতা- মোঃ ইদ্রিস </t>
  </si>
  <si>
    <t xml:space="preserve">গ্রাম- বাদশা ঘোনা 
থানা- কক্সবাজার 
জেলা- কক্সবাজার </t>
  </si>
  <si>
    <t>সদর থা: মা: নং-36(8)25
জি আর- 440/25
ধারা- 19(A) Arms Act 1878</t>
  </si>
  <si>
    <t xml:space="preserve">সাদিক আলী 
পিতা-  শরিফ আলী </t>
  </si>
  <si>
    <t xml:space="preserve">গ্রাম- পশ্চিম সিওর 
থানা- কুলাউরা 
জেলা- মৌলভীবাজার </t>
  </si>
  <si>
    <t>কুলাউরা থা: মা: নং-4(7)25
জি আর-165/25
ধারা- নারী  ও শিশু নির্যাতন দমন আইন ২০০০ এর 9(1)</t>
  </si>
  <si>
    <t xml:space="preserve">হোসাইন রায়হান রাতুল 
পিতা- মৃত: আজিম উদ্দিন </t>
  </si>
  <si>
    <t xml:space="preserve">গ্রাম- দক্ষিন মগাদিয়া 
থানা- মীরসরাই 
জেলা- চট্রগ্রাম 
 </t>
  </si>
  <si>
    <t xml:space="preserve">ফুলবাড়ীয়া থা: মা: নং-21(8)25
ধারা- 381 পি সি  </t>
  </si>
  <si>
    <t xml:space="preserve">নাছির 
পিতা- মৃত: আঃ রহিম </t>
  </si>
  <si>
    <t xml:space="preserve">গ্রাম- বহর আবাসিক এলাকা 
থানা- শাহপরান 
জেলা- সিলেট 
 </t>
  </si>
  <si>
    <t xml:space="preserve">শাহপরান থা: মা: নং-সাধারন ডায়রী নং-1457
ধারা- 151 ফো: কা: বি: </t>
  </si>
  <si>
    <t xml:space="preserve">মাহদি হাসান রাহিম 
পিতা- সঞ্জব আলী </t>
  </si>
  <si>
    <t xml:space="preserve">গ্রাম- উত্তর কালনীচর 
থানা- ওসমানী নগর 
জেলা- সিলেট 
 </t>
  </si>
  <si>
    <t xml:space="preserve"> ওসমানী নগর থা: মা: নং-13(8)25
জি আর- 142/25
ধারা- নারী  ও শিশু নির্যাতন দমন আইন ২০০০ এর 9(1)</t>
  </si>
  <si>
    <t xml:space="preserve"> মোঃ রব্বানী 
পিতা- মোঃ মোসলেম </t>
  </si>
  <si>
    <t xml:space="preserve">গ্রাম- গোটাপারা 
থানা- বাগেরহাট 
জেলা- বাগেরহাট 
 </t>
  </si>
  <si>
    <t xml:space="preserve">পল্টন থা: মা: নং-1(9)25
ধারা- 393 পি সি  </t>
  </si>
  <si>
    <t xml:space="preserve">শিশু আদালত-2
ঢাকা </t>
  </si>
  <si>
    <t xml:space="preserve">মোঃ সিরাজ হাসান 
পিতা- মোঃ মৃত: কবির হোসেন </t>
  </si>
  <si>
    <t xml:space="preserve">গ্রাম- গোবিন্দপুরি 
থানা- কোতয়ালী মডেল 
জেলা- কুমিল্লা 
 </t>
  </si>
  <si>
    <t>কোতয়ালী মডেলথা: মা: নং-18(8)25
ধারা- 379/34</t>
  </si>
  <si>
    <t xml:space="preserve">শিশু আদালত-1
কুমিল্লা </t>
  </si>
  <si>
    <t xml:space="preserve">রাজিব মিয়া 
পিতা- এলাই মিয়া </t>
  </si>
  <si>
    <t xml:space="preserve">গ্রাম- শ্রীমতপুর 
থানা- নবীগঞ্জ
জেলা- হবিগঞ্জ
 </t>
  </si>
  <si>
    <t>নবীগঞ্জ জি আর- 182/25
ধারা- নারী  ও শিশু নির্যাতন দমন আইন ২০০০ এর 9(3)</t>
  </si>
  <si>
    <t>শিশু আদালত-3
হবিগঞ্জ</t>
  </si>
  <si>
    <t xml:space="preserve">শেখ জামাল 
পিতা-  শেখ ফরিদ </t>
  </si>
  <si>
    <t xml:space="preserve">মোঃ সজিব মিয়া 
পিতা- নুর মোহাম্মদ </t>
  </si>
  <si>
    <t xml:space="preserve">গ্রাম- পাচগাতীয়া 
থানা- কটিয়াদী 
জেলা- কিশোরগঞ্জ
 </t>
  </si>
  <si>
    <t>বাজিতপুর থা: মা: নং-3(9)25
জি আর- 161/25
ধারা- নারী  ও শিশু নির্যাতন দমন আইন ২০০০ এর 9(1)/7/30</t>
  </si>
  <si>
    <t>শিশু আদালত-2
কিশোরগঞ্জ</t>
  </si>
  <si>
    <t xml:space="preserve">মোঃ সজীব হোসেন 
পিতা- মোঃ বিপ্লব </t>
  </si>
  <si>
    <t xml:space="preserve">গ্রাম- ধর্মগঞ্জ
থানা- ফতুল্লা 
জেলা- নারায়নগঞ্জ
 </t>
  </si>
  <si>
    <t xml:space="preserve">শিশু: মা: নং-86/25
ধারা- 323/380/427/ পি সি </t>
  </si>
  <si>
    <t>শিশু আদালত
নারায়নগঞ্জ</t>
  </si>
  <si>
    <t xml:space="preserve">নিশাদ দাস 
পিতা- প্রদিপ দাস </t>
  </si>
  <si>
    <t xml:space="preserve">গ্রাম- 
থানা- জোয়ারগঞ্জ 
জেলা- চট্রগ্রাম 
 </t>
  </si>
  <si>
    <t>জোয়ারগঞ্জ থা: মা: নং-18(8)25
জি আর- 128/25
ধারা- নারী  ও শিশু নির্যাতন দমন আইন ২০০০ এর 9(1)</t>
  </si>
  <si>
    <t xml:space="preserve">জোবায়ের রহমান 
পিতা- হানিফ খান </t>
  </si>
  <si>
    <t xml:space="preserve">গ্রাম- হাটুলিয়া 
থানা- ইশ্বরগঞ্জ
জেলা- ময়মনসিংহ 
 </t>
  </si>
  <si>
    <t xml:space="preserve"> ইশ্বরগঞ্জথা: মা: নং-10(9)25
ধারা- 302/34 পি সি  </t>
  </si>
  <si>
    <t xml:space="preserve">আমলী আদালত
ময়মনসিংহ </t>
  </si>
  <si>
    <t xml:space="preserve">মোঃ মাহফুজুর রহমান 
পিতা- রবিউল হোসেন </t>
  </si>
  <si>
    <t xml:space="preserve">গ্রাম- মাইক চাইল 
থানা- মনোহরগঞ্জ
জেলা- কুমিল্লা 
 </t>
  </si>
  <si>
    <t xml:space="preserve">মনোহরগঞ্জ থা: মা: নং-
জি আর- 120/25
ধারা- 302/34 পি সি </t>
  </si>
  <si>
    <t xml:space="preserve">শিশু আদালত-1 
কুমিল্লা </t>
  </si>
  <si>
    <t xml:space="preserve">মোঃ সোলায়মান 
পিতা- মোঃ নজরুল ইসলাম </t>
  </si>
  <si>
    <t xml:space="preserve">গ্রাম- দিঘলকান্দি 
থানা- দেওয়ানগঞ্জ 
জেলা- জামালপুর 
 </t>
  </si>
  <si>
    <t>দেওয়ানগঞ্জ থা: মা: নং-17(9)25
জি আর- 74(2)25
ধারা- নারী  ও শিশু নির্যাতন দমন আইন ২০০০ এর 9(1)</t>
  </si>
  <si>
    <t xml:space="preserve">শিশু আদালত
জামালপুর </t>
  </si>
  <si>
    <t xml:space="preserve">মোঃ আব্দুল্লাহ 
পিতা- মৃত: ইউসুফ আলী </t>
  </si>
  <si>
    <t xml:space="preserve">গ্রাম- মধুসুদনপুর 
থানা- পবা 
জেলা- রাজশাহী 
 </t>
  </si>
  <si>
    <t xml:space="preserve">জামালপুর থা: মা: নং-15(9)25
জি আর- 542(2)25
ধারা- 379/34 </t>
  </si>
  <si>
    <t xml:space="preserve">মোঃ শাহাদত 
পিতা- মোঃ খলিল </t>
  </si>
  <si>
    <t xml:space="preserve">গ্রাম- রামাছরা 
থানা- মাটিরাঙ্গা 
জেলা- খাগড়াছড়ী 
 </t>
  </si>
  <si>
    <t xml:space="preserve">খাগড়াছড়ী থা: মা: নং-1(7)25
জি আর- 58/25
ধারা- 457/380 পি সি </t>
  </si>
  <si>
    <t xml:space="preserve">শিশু আদালত
খাগড়াছড়ী </t>
  </si>
  <si>
    <t>জামিনে মুক্তি 09-02-26</t>
  </si>
  <si>
    <t>মোঃ আতাউর 
পিতা- মোঃ কবির</t>
  </si>
  <si>
    <t>17 বছর 3 মাস</t>
  </si>
  <si>
    <t xml:space="preserve">গ্রাম- বহদ্দারহাট
থানা- চান্দগাঁও
জেলা- চট্রগ্রাম
 </t>
  </si>
  <si>
    <t>হালিশহর থা: মা: নং-11(5)25 
ধারা- 143/341/324/326/
307/379/114/34 সংযুক্ত 302</t>
  </si>
  <si>
    <t xml:space="preserve">শিশু আদালত-1 
চট্রগ্রাম </t>
  </si>
  <si>
    <t>সোহান মিয়া
পিতা- শফিক মিয়া</t>
  </si>
  <si>
    <t xml:space="preserve">গ্রাম- লামাজ জগন্নাথপুর
থানা- মৌলভীবাজার
জেলা- মৌলভীবাজার
 </t>
  </si>
  <si>
    <t xml:space="preserve">মৌলভীবাজার থা: মা: নং-38(8)25
জি আর- 279/25
ধারা- 457/380 পি সি </t>
  </si>
  <si>
    <t>শিশু আদালত 
মৌলভীবাজার</t>
  </si>
  <si>
    <t>জামিনে মুক্তি 06-02-26</t>
  </si>
  <si>
    <t>মোঃ নিশাদ
পিতা- মোঃ মাছুম</t>
  </si>
  <si>
    <t xml:space="preserve">গ্রাম- গোপালনগর রাস্তার উত্তর পাড়া
থানা- বরুড়া
জেলা- কুমিল্লা
 </t>
  </si>
  <si>
    <t>বুরিচং থা: মা: নং-12(9)25
জি আর- 269/25
ধারা- নারী  ও শিশু নির্যাতন দমন আইন ২০০০ এর 9(1)9(4)9(খ)</t>
  </si>
  <si>
    <t xml:space="preserve">শিশু আদালত-2
কুমিল্লা </t>
  </si>
  <si>
    <t>মোঃ সাব্বির হোসেন ঝন্টু
পিতা- মৃত: মোসলেম উদ্দিন</t>
  </si>
  <si>
    <t xml:space="preserve">গ্রাম- বিষ্ণুপুর
থানা- নান্দাইল
জেলা- ময়মনসিংহ
 </t>
  </si>
  <si>
    <t xml:space="preserve">সদর থা: মা: নং-18(9)25
ধারা- 457/380 পি সি  </t>
  </si>
  <si>
    <t xml:space="preserve">নারী ও শিশু নির্যাতন দমন ট্রাইঃ-
গাজীপুর </t>
  </si>
  <si>
    <t xml:space="preserve">মেহেদি হাসান
পিতা- জিল্লু মিয়া </t>
  </si>
  <si>
    <t xml:space="preserve">গ্রাম- পশ্চিম দাইকপারা
থানা- ব্রাক্ষণবাড়ীয়া সদর
জেলা- ব্রাক্ষণবাড়ীয়া
 </t>
  </si>
  <si>
    <t>ব্রাক্ষণবাড়ীয়া থা: জিডি নং- 445
বিবিধ মা: নং- 142/25</t>
  </si>
  <si>
    <t>শিশু আদালত 
ব্রাক্ষণবাড়ীয়া</t>
  </si>
  <si>
    <t xml:space="preserve">মোঃ সুজন মিয়া
পিতা- মোঃ আবুতালেব মিয়া </t>
  </si>
  <si>
    <t xml:space="preserve">গ্রাম- বাটরা 
থানা- নগরপুর  
জেলা- টাংগাইল 
 </t>
  </si>
  <si>
    <t>কোনাবাড়ী থা: মা: নং-4(9)25
ধারা- নারী  ও শিশু নির্যাতন দমন আইন ২০০০ এর 9(1)</t>
  </si>
  <si>
    <t xml:space="preserve">শিশু আদালত 
গাজীপুর </t>
  </si>
  <si>
    <t xml:space="preserve">মোঃ ইসরাফুল হাসান বিজয় 
পিতা- আবু সৈয়দ </t>
  </si>
  <si>
    <t xml:space="preserve">গ্রাম- উত্তর সতর 
থানা- ছাগলনাইয়া 
জেলা- ফেনী 
 </t>
  </si>
  <si>
    <t xml:space="preserve"> ছাগলনাইয়া থা: মা: নং-7(9)25
জি আর- 155/25
ধারা- 457/380/411 পি সি  </t>
  </si>
  <si>
    <t xml:space="preserve">শিশু আদালত 
ফেনী </t>
  </si>
  <si>
    <t xml:space="preserve">রিদোয়ান রাফি 
পিতা- মোঃ শামীম </t>
  </si>
  <si>
    <t xml:space="preserve">গ্রাম- এয়ারপোট 
থানা- দক্ষিনখান 
জেলা- ঢাকা 
 </t>
  </si>
  <si>
    <t>তেজগাঁও থা: মা: নং-15(9)25
ধারা- সন্ত্রাস বিরোধী আইন 2009(সং/2013) এর 8/9(1)9(2)/7/8/9/10/12/13</t>
  </si>
  <si>
    <t xml:space="preserve">মেট্রোঃ ম্যাজিঃ
ঢাকা </t>
  </si>
  <si>
    <t>মোঃ সুরুজ জামান ৥ সুরজ্জামান
পিতা- ইয়ানবী</t>
  </si>
  <si>
    <t xml:space="preserve">গ্রাম- সানকীপাড়া শেষমোড়
থানা- কোতোয়ালী
জেলা- ময়মনসিংহ
 </t>
  </si>
  <si>
    <t xml:space="preserve">কোতোয়ালী থা: মা: নং-46(9)25
জি আর- 820/25
ধারা- 399/402 পি সি </t>
  </si>
  <si>
    <t xml:space="preserve">শিশু আদালত 
ময়মনসিংহ </t>
  </si>
  <si>
    <t>মোঃ উল্লাহ রিয়াদ
পিতা- মোঃ বেলাল উদ্দীন</t>
  </si>
  <si>
    <t xml:space="preserve">গ্রাম- কালার রোড
থানা- কর্ণফুলী
জেলা- চট্রগ্রাম
 </t>
  </si>
  <si>
    <t xml:space="preserve">পাহাড়তলী থা: মা: নং-22(7)25
ধারা- 379/34 পি সি </t>
  </si>
  <si>
    <t xml:space="preserve">মোঃ সজিব 
পিতা- মোঃ রশিদ </t>
  </si>
  <si>
    <t xml:space="preserve">গ্রাম- 
থানা- আকবর শাহ 
জেলা- চট্রগ্রাম 
 </t>
  </si>
  <si>
    <t xml:space="preserve">মোঃ রিফাত 
পিতা- মোঃ ফজলুল হক </t>
  </si>
  <si>
    <t xml:space="preserve">গ্রাম- মিজিয়াপারা 
থানা- লাকসাম 
জেলা- কুমিল্লা 
 </t>
  </si>
  <si>
    <t>লাকসাম থা: মা: নং-7(9)25
জি আর- 112/25
ধারা- নারী  ও শিশু নির্যাতন দমন আইন ২০০০ এর 9(1)</t>
  </si>
  <si>
    <t>মোঃ জাবেদ ইসলাম
পিতা- মোঃ কাইছার</t>
  </si>
  <si>
    <t xml:space="preserve">গ্রাম- জোর মনিপাড়া 3 নং ওয়ার্ড
থানা-লামা  
জেলা- বান্দরবন
 </t>
  </si>
  <si>
    <t>জি আর- 95/25 
ধারা- নারী  ও শিশু নির্যাতন দমন আইন ২০০০ এর 9(4)(খ)</t>
  </si>
  <si>
    <t xml:space="preserve">শিশু আদালত 
বান্দরবান </t>
  </si>
  <si>
    <t>নাবিল আহমদ
পিতা- মুক্তার আহমদ</t>
  </si>
  <si>
    <t xml:space="preserve">গ্রাম- নয়ামাঠি পাহাড়
থানা- কানাই ঘাট
জেলা- সিলেট
 </t>
  </si>
  <si>
    <t xml:space="preserve">কানাই ঘাট জি আর- 150/25
</t>
  </si>
  <si>
    <t>বাপ্পি মিয়া ৥ হাবিবুর রহামন বাপ্পি
পিতা- অগ্গাত</t>
  </si>
  <si>
    <t xml:space="preserve">গ্রাম- ওসমানপুর 
থানা- চুনারুগাঠ 
জেলা- হবিগঞ্জ
 </t>
  </si>
  <si>
    <t xml:space="preserve">জি আর- 125/25
ধারা- নারী  ও শিশু নির্যাতন দমন আইন ২০০০ এর </t>
  </si>
  <si>
    <t>নারী ও শিশু নির্যাতন দমন ট্রাইঃ-
হবিগঞ্জ</t>
  </si>
  <si>
    <t xml:space="preserve">নাহিদ ইসলাম  
পিতা- ওয়াজকুরুনী ভূইয়া </t>
  </si>
  <si>
    <t xml:space="preserve">গ্রাম- ভূইয়াবাড়ী 
থানা- দউদকান্দি 
জেলা- কুমিল্লা 
 </t>
  </si>
  <si>
    <t>দউদকান্দি থা: মা: নং-30(9)25
জি আর- 188/25
ধারা- সন্ত্রাস বিরোধী আইন 2009(সং/2013) এর 8/9/10/11/12</t>
  </si>
  <si>
    <t xml:space="preserve">নারী ও শিশু নির্যাতন দমন ট্রাইঃ-3
কুমিল্লা </t>
  </si>
  <si>
    <t xml:space="preserve">মোঃ সাব্বির 
পিতা- মোঃ মানিক </t>
  </si>
  <si>
    <t>ইয়াছিন মোল্লা মিয়াজ 
পিতা- নান্নু মিয়া</t>
  </si>
  <si>
    <t xml:space="preserve">গ্রাম- 464 মেডিকেল রোড
থানা- কদমতলী 
জেলা- ঢাকা
 </t>
  </si>
  <si>
    <t>সি আর মা: নং-484/25
ধারা- 323/380/506</t>
  </si>
  <si>
    <t xml:space="preserve">শিশু আদালত-3 
ঢাকা </t>
  </si>
  <si>
    <t>মোঃ সাব্বির হোসেন 
পিতা- মোঃ রফিকুল ইসলাম</t>
  </si>
  <si>
    <t xml:space="preserve">গ্রাম- চমপাড়া 
থানা- রুপগঞ্জ 
জেলা- নারায়নগঞ্জ
 </t>
  </si>
  <si>
    <t xml:space="preserve"> রুপগঞ্জ থা: মা: নং-26(9)25 
ধারা- নারী  ও শিশু নির্যাতন দমন আইন ২০০০ এর 9(3)/30</t>
  </si>
  <si>
    <t>মোঃ মোবারক
পিতা- কফিল উদ্দিন</t>
  </si>
  <si>
    <t xml:space="preserve">গ্রাম- বাসু পাড়া
থানা- পাবতীপুর 
জেলা- দিনাজ পুর
 </t>
  </si>
  <si>
    <t xml:space="preserve">বাসন থা: মা: নং-27(9)25
</t>
  </si>
  <si>
    <t>মোঃ নাজমুল ইসলাম
পিতা- শাহ জালাল</t>
  </si>
  <si>
    <t xml:space="preserve">গ্রাম- দক্ষিণ কোরাইলা
থানা- হাইমচর
জেলা- চাদপুর
 </t>
  </si>
  <si>
    <t xml:space="preserve">কাশিমপুর থা: মা: নং-10(9)25
</t>
  </si>
  <si>
    <t>মেহেদী হাসান সুমন
পিতা- মৃতঃ হারুনুর রশিদ</t>
  </si>
  <si>
    <t xml:space="preserve">গ্রাম-রাবদাম পাড়া 
থানা- কাসিমপুর
জেলা- গাজীপুর মহানগর
 </t>
  </si>
  <si>
    <t>কাওয়াংসাই মামা
পিতা- কাহ্লাচিং মামা</t>
  </si>
  <si>
    <t xml:space="preserve">গ্রাম- পাইন্দু হেডম্যান পাড়
থানা- রুমা
জেলা- বান্দরবন
 </t>
  </si>
  <si>
    <t>রুমা থা: মা: নং-2(8)25
ধারা- নারী  ও শিশু নির্যাতন দমন আইন ২০০০ এর 9(1)/9(3)</t>
  </si>
  <si>
    <t xml:space="preserve">শিশু আদালত
বান্দরবান </t>
  </si>
  <si>
    <t xml:space="preserve">চহাউমং মামা 
পিতা- সাচিংউ  মামা </t>
  </si>
  <si>
    <t xml:space="preserve">ইয়সিন 
পিতা- মাহাবুব </t>
  </si>
  <si>
    <t xml:space="preserve">গ্রাম- সৈয়দ পাড়া 
থানা- সিদ্দিরগঞ্জ
জেলা- নারায়নগঞ্জ 
 </t>
  </si>
  <si>
    <t xml:space="preserve">সিদ্ধিরগঞ্জ থা: মা: নং-7(2)25
ধারা- 302/34 পি সি  </t>
  </si>
  <si>
    <t xml:space="preserve">সাইদ 
পিতা-রুবেল মিয়া  </t>
  </si>
  <si>
    <t xml:space="preserve">গ্রাম- চানপুর 
থানা- শান্তিগঞ্জ 
জেলা- সুনামগঞ্জ 
 </t>
  </si>
  <si>
    <t>শান্তিগঞ্জ থা: মা: নং-11(9)25
জি আর- 134/25
ধারা- নারী  ও শিশু নির্যাতন দমন আইন ২০০০ এর 7/30</t>
  </si>
  <si>
    <t>শিশু আদলত
সুনামগঞ্জ</t>
  </si>
  <si>
    <t xml:space="preserve">তলবমতে </t>
  </si>
  <si>
    <t xml:space="preserve">রবিন 
পিতা- কাজল  </t>
  </si>
  <si>
    <t xml:space="preserve">গ্রাম- বরাইল 
থানা- নান্দাইল 
জেলা- ময়মনসিংহ 
 </t>
  </si>
  <si>
    <t>শেরে বাংলা থা: মা: নং-24(9)25
ধারা- সন্ত্রাস বিরোধী আইন 2009(সং/2009) এর 6(1)6(2)6(3)/8/9(1)9/(2)/10/12/13</t>
  </si>
  <si>
    <t xml:space="preserve">শিশু আদালত 
ঢাকা </t>
  </si>
  <si>
    <t xml:space="preserve">মোঃ শাজাত হোসেন বিজয় 
পিতা- তোফায়েল হোসেন বাবু  </t>
  </si>
  <si>
    <t xml:space="preserve">গ্রাম- আসবারাবাদ 
থানা- ডাবলমুরিং
জেলা- চটগ্রাম  
 </t>
  </si>
  <si>
    <t xml:space="preserve">হালিশহর থা: মা: নং-11(5)25
ধারা- 143/341/324/326/
307/379/114/302/34 পি সি </t>
  </si>
  <si>
    <t xml:space="preserve">শিশু আদালত-6
চট্রগ্রাম  
</t>
  </si>
  <si>
    <t xml:space="preserve">মোঃ লিমন 
পিতা- মোঃ মিজানুর রহমান </t>
  </si>
  <si>
    <t xml:space="preserve">গ্রাম- মিয়ারচর 
থানা- রৌমারী 
জেলা- কুরিগ্রাম 
 </t>
  </si>
  <si>
    <t xml:space="preserve">কালিয়াকৈর থা: মা: নং-44(9)25
জি আর- 408/25
ধারা- 302 পি সি </t>
  </si>
  <si>
    <t>১. মোটিভেশনাল কউন্সেলিং করা হয়েছৈ। ২. পরিবারের সাথে শিশুর সম্পর্ক উন্নয়নের জন্য পারিবারিক আউন্সেলিং করা হচ্ছে।</t>
  </si>
  <si>
    <t xml:space="preserve">কামরুল হাসান 
পিতা- আইয়ুব আলী </t>
  </si>
  <si>
    <t xml:space="preserve">গ্রাম- নাইদুর 
থানা- ব্রাক্ষনপারা 
জেলা- কুমিল্লা 
 </t>
  </si>
  <si>
    <t>শিশু মা: নং-52/22
জি আর- 265/21
ধারা- ২০১৮ সনের মাদকদ্রব্য নিয়ন্ত্রন আইন এর ৩৬(১) সারনির 24(ক)</t>
  </si>
  <si>
    <t>মোঃ শাওন ইসলাম 
পিতা- রাসেল মিয়া</t>
  </si>
  <si>
    <t xml:space="preserve">গ্রাম- বাগান 
থানা- ত্রিশাল 
জেলা- ময়মনসিংহ 
 </t>
  </si>
  <si>
    <t>ত্রিশাল থা: মা: নং-4(8)25
জি আর- 213/25
ধারা- নারী  ও শিশু নির্যাতন দমন আইন ২০০০ এর 9(1)</t>
  </si>
  <si>
    <t xml:space="preserve">শিশু আদালত
ময়মনসিংহ  </t>
  </si>
  <si>
    <t>জামিনে মুক্তি 01-02-26</t>
  </si>
  <si>
    <t>শাহান মিয়া ৥ শাওন 
পিতা- আবুল কালাম (কসাই)</t>
  </si>
  <si>
    <t xml:space="preserve">গ্রাম- পানান 
থানা- ইশ্বরগঞ্জ
জেলা- ময়মনসিংহ 
 </t>
  </si>
  <si>
    <t xml:space="preserve">আরাই হাজার থা: মা: নং-27(9)25
ধারা- 302/34 পি সি  </t>
  </si>
  <si>
    <t xml:space="preserve">তরিকুল ইসলাম 
পিতা- আব্বাস  আলী </t>
  </si>
  <si>
    <t xml:space="preserve">গ্রাম- নয়াপারা 
থানা- সিংগাইর 
জেলা- মানিকগঞ্জ
 </t>
  </si>
  <si>
    <t xml:space="preserve">সিংগাইর থা: মা: নং-23(5)25
ধারা- 143/342/323/30/34 পি সি </t>
  </si>
  <si>
    <t>শিশু আদালত 
মানিকগঞ্জ</t>
  </si>
  <si>
    <t xml:space="preserve">মোঃ তানভীর 
পিতা- আহম্মদ আলী </t>
  </si>
  <si>
    <t xml:space="preserve">গ্রাম- ভৈরবপুর 
থানা- ভৈরব 
জেলা- কিশোরগঞ্জ
 </t>
  </si>
  <si>
    <t>ভৈরব রেলওয়ে থা: মা: নং-8(9)25
ধারা- ২০১৮ সনের মাদকদ্রব্য নিয়ন্ত্রন আইন এর ৩৬(১) সারনির 19(খ)</t>
  </si>
  <si>
    <t xml:space="preserve">মোঃ মারুফ হোসেন 
পিতা- নুরুল আলম </t>
  </si>
  <si>
    <t xml:space="preserve">গ্রাম- হামিদের বারী 
থানা- চান্দগাঁও 
জেলা- চট্রগ্রাম
 </t>
  </si>
  <si>
    <t xml:space="preserve">চাদঁগাও থা: মা: নং- 19(7)25
ধারা- The Arms Act  1974 এর  19(F)
 </t>
  </si>
  <si>
    <t xml:space="preserve">শিশু আদালত চট্রগ্রাম </t>
  </si>
  <si>
    <t xml:space="preserve">সাব্বির 
পিতা- হরমুজ আলী৥ কালা </t>
  </si>
  <si>
    <t xml:space="preserve">গ্রাম- আসামপারা 
থানা- জৈন্তাপুর 
জেলা- সিলেট
 </t>
  </si>
  <si>
    <t>জৈন্তাপুর থা: মা: নং-3(10)25
জি আর- 205/25
ধারা- নারী  ও শিশু নির্যাতন দমন আইন ২০০০(সং/21) এর 9(1)</t>
  </si>
  <si>
    <t>শিশু আদালত 
সিলেট</t>
  </si>
  <si>
    <t xml:space="preserve">মোঃ জাকির হোসেন 
পিতা- মৃত: আলি হোসেন </t>
  </si>
  <si>
    <t xml:space="preserve">গ্রাম- রায়গ্রাম 
থানা- নাসিরনগর 
জেলা- ব্রাক্ষণবাড়িয়া 
 </t>
  </si>
  <si>
    <t>রেলওয়ে থা: এন জি আর নং-35/25
জি আর- 80/25
ধারা- রেলওয়ে আইন 1890 এর 112</t>
  </si>
  <si>
    <t xml:space="preserve">মোঃ আবিদ হোসেন 
পিতা- মৃত: আমির আলী </t>
  </si>
  <si>
    <t xml:space="preserve">গ্রাম- দেওয়ানগর 
থানা- সুনামগঞ্জ সদর 
জেলা- সুনামগঞ্জ
 </t>
  </si>
  <si>
    <t xml:space="preserve">মং সিং থোয়াই মার্মা 
পিতা- অং থোয়াই মার্মা </t>
  </si>
  <si>
    <t xml:space="preserve">গ্রাম- 
থানা- চন্দ্রঘোনা  
জেলা- রাঙ্গামাটি
 </t>
  </si>
  <si>
    <t>জি আর- 100/25
ধারা- 385/406(2)/34</t>
  </si>
  <si>
    <t xml:space="preserve">মোঃ তুহিন 
পিতা- ইয়ার আলী </t>
  </si>
  <si>
    <t xml:space="preserve">গ্রাম- দোহাগারা 
থানা- চান্দনাইশ 
জেলা- চট্রগ্রাম 
 </t>
  </si>
  <si>
    <t xml:space="preserve">জি আর- 104/25(এস)
ধারা- 457/380/411 পি সি </t>
  </si>
  <si>
    <t>মিলন 
পিতা- মৃত: মিনহাজ মিলন</t>
  </si>
  <si>
    <t xml:space="preserve">গ্রাম- তিলপাড়া
থানা- নাসিরনগর
জেলা- ব্রাহ্মনবাড়িয়া
 </t>
  </si>
  <si>
    <t>নাসিরনগর থা: মা: নং-8(10)25
জি আর- 190/25
ধারা- নারী  ও শিশু নির্যাতন দমন আইন ২০০০(সং/21) এর 9(3)</t>
  </si>
  <si>
    <t xml:space="preserve">শিশু আদালত-2
ব্রাক্ষণবাড়ীয়া </t>
  </si>
  <si>
    <t>ইমন
 পিতা- কাইয়ুম</t>
  </si>
  <si>
    <t xml:space="preserve">গ্রাম- লক্ষীপুর
থানা- নাসিরনগর
জেলা- ব্রাহ্মনবাড়িয়া
 </t>
  </si>
  <si>
    <t>পাবেল
পিতা- জাহাঙ্গীর</t>
  </si>
  <si>
    <t>মিরাজ ভূইয়া
পিতা- মোঃ বাচ্চু ভূইয়া</t>
  </si>
  <si>
    <t xml:space="preserve">গ্রাম- 
থানা-গোসাইরহাঠ 
জেলা- শরীয়তপুর 
 </t>
  </si>
  <si>
    <t>গোমাইর হাট থা: মা: নং-4(10)25
জি আর- 140/25
ধারা- নারী  ও শিশু নির্যাতন দমন আইন ২০০০(সং/21) এর 9(1)</t>
  </si>
  <si>
    <t xml:space="preserve">শিশু আদালত 
শরীয়তপুর </t>
  </si>
  <si>
    <t xml:space="preserve">আকরাম উদ্দিন 
পিতা- মহিন উদ্দিন </t>
  </si>
  <si>
    <t xml:space="preserve">গ্রাম- বাসা 1861 (সাব) তিলা ফ্লোর 8/এ
থানা- কদমতী
জেলা- ঢাকা
 </t>
  </si>
  <si>
    <t xml:space="preserve">সি আর নং-621/25
ধারা- 323/379/427/506 পি সি </t>
  </si>
  <si>
    <t xml:space="preserve">শিশু আদালত
ঢাকা </t>
  </si>
  <si>
    <t xml:space="preserve">মোঃ সজিব মন্ডল 
পিতা- মোঃ খলিল মন্ডল </t>
  </si>
  <si>
    <t xml:space="preserve">গ্রাম- চরগোপালপুর
থানা- বেলকুছি 
জেলা- সিরাজগঞ্জ
 </t>
  </si>
  <si>
    <t xml:space="preserve">জি আর- 146/24
</t>
  </si>
  <si>
    <t>শিশু আদালত
সিরাজগঞ্জ</t>
  </si>
  <si>
    <t xml:space="preserve">মোঃ রিয়াদ 
পিতা- বশির আহমেদ </t>
  </si>
  <si>
    <t xml:space="preserve">গ্রাম- কোঁচ পাড়া 
থানা- চকরিয়া 
জেলা- কক্সবাজার 
 </t>
  </si>
  <si>
    <t xml:space="preserve"> চকরিয়া থা: মা: নং-58(4)25
জি আর- 202/25
ধারা- নারী  ও শিশু নির্যাতন দমন আইন ২০০০(সং/21) এর 7/9(1)/30</t>
  </si>
  <si>
    <t xml:space="preserve">শিশু আদালত-1 
কক্সবাজার </t>
  </si>
  <si>
    <t xml:space="preserve">আরাফাত 
পিতা- জিয়াউর রহমান  </t>
  </si>
  <si>
    <t xml:space="preserve">গ্রাম- পূর্বপানখালী 
থানা- টেকনাফ 
জেলা- কক্সবাজার 
 </t>
  </si>
  <si>
    <t>টেকনাফ থা: মা: নং-17(10)25
জি আর- 703/25
ধারা- 302/301/34 পি সি</t>
  </si>
  <si>
    <t>ফারেজ 
পিতা- ফরিদ আহমদ</t>
  </si>
  <si>
    <t xml:space="preserve">গ্রাম- পশ্চিম শিকদার 
থানা-টেকনাফ  
জেলা- কক্সবাজার 
 </t>
  </si>
  <si>
    <t xml:space="preserve">মোঃ সোহাগ 
পিতা- মোঃ মনহর </t>
  </si>
  <si>
    <t xml:space="preserve">গ্রাম- মেয়ার বাড়ী
থানা- মেলান্দর 
জেলা- জামালপুর 
 </t>
  </si>
  <si>
    <t xml:space="preserve">মেলান্দহ থা: মা: নং-4(10)25
জি আর- 218(2)25
ধারা- 379/24 পি সি </t>
  </si>
  <si>
    <t xml:space="preserve">শিশু আদালত-2
জামালপুর </t>
  </si>
  <si>
    <t>মোঃ রজব আলী সিয়াম
পিতা- মোঃ ইলিয়াস সরদার</t>
  </si>
  <si>
    <t xml:space="preserve">গ্রাম- রজব আলীর সরদার কান্দির রুপাপুর হাট
থানা- জাজিরা 
জেলা- শরিয়তপুর
 </t>
  </si>
  <si>
    <t>হাজারিবাগ থা: মা: নং-8(9)25
ধারা- নারী  ও শিশু নির্যাতন দমন আইন ২০০০(সং/03) এর 9(1)</t>
  </si>
  <si>
    <t xml:space="preserve">শিশু আদালত-5
ঢাকা </t>
  </si>
  <si>
    <t>1.লিগ্যাল এইড আইনজীবী নিয়োগ। ২. পরিবার খুঁজে বের করা হয়েছে।</t>
  </si>
  <si>
    <t>মোঃ ইয়াছিন শেখ 
পিতা- মোঃ সুমন শেখ</t>
  </si>
  <si>
    <t xml:space="preserve">গ্রাম- নরসিংহপুর
থানা-আশুলিয়া  
জেলা- ঢাকা
 </t>
  </si>
  <si>
    <t xml:space="preserve">আশুলিয়া থা: মা: নং-121(9)25
ধারা- 399/402 পি সি  </t>
  </si>
  <si>
    <t xml:space="preserve">শিশু আদালত-9
ঢাকা </t>
  </si>
  <si>
    <t xml:space="preserve">মোঃ নাঈম ৥সাব্বির 
পিতা- মোঃ রাজু মিয়া </t>
  </si>
  <si>
    <t xml:space="preserve">গ্রাম- জয়শ্রী শিকদারপুর
থানা- উজিরপুর 
জেলা- বরিশাল
 </t>
  </si>
  <si>
    <t>কেরানীগঞ্জ থা: মা: নং-28(9)25
ধারা- ২০১৮ সনের মাদকদ্রব্য নিয়ন্ত্রন আইন এর ৩৬(১) সারনির 19(ক)</t>
  </si>
  <si>
    <t xml:space="preserve">মেট্রো: ম্যাজি: 
ঢাকা </t>
  </si>
  <si>
    <t xml:space="preserve">মোঃ আবু বক্কর ৥ জীবন মিয়া 
পিতা- মৃত: আব্দুল গনি  </t>
  </si>
  <si>
    <t xml:space="preserve">গ্রাম- পাটেককান্দা 
থানা- মনোহরদী 
জেলা- নরসিংদী 
 </t>
  </si>
  <si>
    <t>মনোহরদী থা: মা: নং-13(9)25
ধারা- নারী  ও শিশু নির্যাতন দমন আইন ২০০০ এর 9(1)</t>
  </si>
  <si>
    <t>শিশু আদালত
নরসিংদী</t>
  </si>
  <si>
    <t xml:space="preserve">মোঃ রাতুল ইসলাম 
পিতা- রফিক মিয়া </t>
  </si>
  <si>
    <t xml:space="preserve">গ্রাম- রদ্দিপারা 
থানা- হাটহাজারী 
জেলা- চট্রগ্রাম 
 </t>
  </si>
  <si>
    <t>হাটহাজারী থা: মা: নং-8(10)25
জি আর- 234/25
ধারা- 4/5 আইন শৃঙ্খলা বিঘ্নকারী ও অপরাদ দ্রুত বিচার সংশোধনী 2019</t>
  </si>
  <si>
    <t>1.নিয়মিত নামাজ আদায়ের পরামর্শ দেওয়া  2. মামলা বিষয়ে আদালতে যোগাযোগ করা হয়েছে</t>
  </si>
  <si>
    <t xml:space="preserve">মোঃ শুভ 
পিতা- মোঃ মনির </t>
  </si>
  <si>
    <t xml:space="preserve">গ্রাম- বায়োজিদ বোস্তামি 
থানা- বায়োজিদ বোস্তামি
জেলা- চট্রগ্রাম 
 </t>
  </si>
  <si>
    <t xml:space="preserve">বায়োজিদ বোস্তামিথা: মা: নং-17(10)25
জি আর- 496/25
ধারা- 382 পি সি </t>
  </si>
  <si>
    <t xml:space="preserve">শিশু আদালত-4
চট্রগ্রাম </t>
  </si>
  <si>
    <t xml:space="preserve">মোঃ সায়েম 
পিতা- আবুল বাশার </t>
  </si>
  <si>
    <t xml:space="preserve">গ্রাম- মুন্সিবাড়ী 
থানা- হাজীগঞ্জ
জেলা- চাঁদপুর 
 </t>
  </si>
  <si>
    <t xml:space="preserve">বায়োজিদ বোস্তামি থা: মা: নং-17(10)25
জি আর- 496/25
ধারা- 382 পি সি </t>
  </si>
  <si>
    <t xml:space="preserve">মোহাম্মাদ হাসান 
পিতা- মোঃ ওসমান </t>
  </si>
  <si>
    <t xml:space="preserve">গ্রাম- উত্তর কলাবাগান 
থানা- লোহাগাড়া 
জেলা- চট্রগ্রাম 
 </t>
  </si>
  <si>
    <t xml:space="preserve">লোহাগাড়া থা: মা: নং-5(10)25
জি আর- 311/25
ধারা- 295 পি সি  </t>
  </si>
  <si>
    <t xml:space="preserve">মোঃ শাহেদ 
পিতা- মোঃ সেলিম </t>
  </si>
  <si>
    <t xml:space="preserve">গ্রাম- পুরাতন সোনাকান্দা 
থানা- কেরানীগঞ্জ
জেলা- ঢাকা 
 </t>
  </si>
  <si>
    <t xml:space="preserve"> কেরানীগঞ্জ থা: মা: নং-20(10)25
ধারা- 302/394/411/201/34</t>
  </si>
  <si>
    <t xml:space="preserve">শিশু আদালত-4
ঢাকা </t>
  </si>
  <si>
    <t xml:space="preserve">মোঃ মিরাজ মিয়া 
পিতা- আকরাম হোসেন </t>
  </si>
  <si>
    <t xml:space="preserve">গ্রাম- মজুমদার মোর 
থানা- ভাসানটেক 
জেলা- ঢাকা 
 </t>
  </si>
  <si>
    <t>ভাসানটেক থা: মা: নং-4(3)22
শিশূ মা: নং- 24/23</t>
  </si>
  <si>
    <t>আসরাফুল ইসলাম
পিতা- রহিছ মিয়া</t>
  </si>
  <si>
    <t xml:space="preserve">গ্রাম- মানিগাঁও
থানা- তাহিরপুর 
জেলা- সুনামগঞ্জ
 </t>
  </si>
  <si>
    <t>তাহিরপুর থা: মা: নং-6(10)25
জি আর- 210/25
ধারা- নারী  ও শিশু নির্যাতন দমন আইন ২০০০ এর 9(1)</t>
  </si>
  <si>
    <t>শিশু আদালত
সুনামগঞ্জ</t>
  </si>
  <si>
    <t xml:space="preserve">সাহাদ
পিতা- মোঃ আবুল কাশেম </t>
  </si>
  <si>
    <t xml:space="preserve">গ্রাম- কাঠালকান্দা
থানা- ত্রিশাল 
জেলা- ময়মনসিংহ
 </t>
  </si>
  <si>
    <t>সদর থা: মা: নং-26(10)25
ধারা- নারী  ও শিশু নির্যাতন দমন আইন ২০০০ এর 9(1)</t>
  </si>
  <si>
    <t xml:space="preserve">মিনহাজ মোঃ সায়মন 
পিতা- ময়নু মিয়া </t>
  </si>
  <si>
    <t xml:space="preserve">গ্রাম- কাদিপুর 
থানা- কুলাউরা 
জেলা- মৌলভীবাজার 
 </t>
  </si>
  <si>
    <t>জুরী থা: মা: নং-6(10)25
জি আর- 77/25
ধারা- নারী  ও শিশু নির্যাতন দমন আইন ২০০০ এর 9(1)</t>
  </si>
  <si>
    <t xml:space="preserve">ইমরান হোসেন নাজির 
পিতা- মনির হোসেন </t>
  </si>
  <si>
    <t xml:space="preserve">গ্রাম- দত্তপারা 
থানা- র্টংগীপূর্ব 
জেলা- গাজীপুর 
 </t>
  </si>
  <si>
    <t>র্টংগীপূর্ব থা: মা: নং-57(5)25
ধারা- নারী  ও শিশু নির্যাতন দমন আইন ২০০০ এর 7/30</t>
  </si>
  <si>
    <t xml:space="preserve">শিশু আদালত
গাজীপুর </t>
  </si>
  <si>
    <t xml:space="preserve">তারেক রহমান ৥ তারেক 
পিতা- আ: মান্নান </t>
  </si>
  <si>
    <t xml:space="preserve">গ্রাম- নয়াপারা 
থানা- হালুয়াঘাট 
জেলা- ময়মনসিংহ 
 </t>
  </si>
  <si>
    <t>হালুয়াঘাট থা: মা: নং-3(2)25
জি আর- 26/25
ধারা- নারী  ও শিশু নির্যাতন দমন আইন ২০০০ এর 7/9(1)/30</t>
  </si>
  <si>
    <t xml:space="preserve">শিশু আদালত সুনামগঞ্জ </t>
  </si>
  <si>
    <t xml:space="preserve">তমাল চন্দ সরকার 
পিতা- দুলাল চন্দ সরকার </t>
  </si>
  <si>
    <t xml:space="preserve">গ্রাম- কান্দারপার 
থানা- কচুয়া 
জেলা- চাঁদপুর  
 </t>
  </si>
  <si>
    <t xml:space="preserve">কচুয়া থা: মা: নং-10(10)25
জি আর- 278/25
ধারা- 295এ/153 পি সি </t>
  </si>
  <si>
    <t xml:space="preserve">শিশু আদালত 
চাঁদপুর </t>
  </si>
  <si>
    <t>জামিনে মুক্তি 14-02-26</t>
  </si>
  <si>
    <t xml:space="preserve">মোঃ মাসুদ রানা ৥ শুভ শেখ 
পিতা- মোঃ বাবুল শেখ ৥ বাবু </t>
  </si>
  <si>
    <t xml:space="preserve">গ্রাম- 
থানা-রায়গঞ্জ  
জেলা- সিরাজগঞ্জ
 </t>
  </si>
  <si>
    <t>রায়গঞ্জ থা: মা: নং-1
ধারা- নারী  ও শিশু নির্যাতন দমন আইন ২০০০ এর 9(4)(খ)</t>
  </si>
  <si>
    <t xml:space="preserve">শিশু আদালত
সিরাজগঞ্জ </t>
  </si>
  <si>
    <t xml:space="preserve">মোহাম্মাদ সেলিম 
পিতা- মৃত: আব্দুস সালাম </t>
  </si>
  <si>
    <t xml:space="preserve">গ্রাম- বালুখালী 
থানা- উখিয়া 
জেলা- কক্সবাজার 
 </t>
  </si>
  <si>
    <t>শিশু মা: নং- 6/22
বাকলিয়া থা: মা: নং-21(7)21
জি আর- 383/25
ধারা- ২০১৮ সনের মাদকদ্রব্য নিয়ন্ত্রন আইন এর ৩৬(১) সারনির 10(ক)</t>
  </si>
  <si>
    <t xml:space="preserve">শিশু আদালত-3
কক্সবাজার 
</t>
  </si>
  <si>
    <t xml:space="preserve">মোঃ জনি মিয়া 
পিতা- মোঃ জুয়েল মিয়া </t>
  </si>
  <si>
    <t xml:space="preserve">গ্রাম- শিবপুর 
থানা- গৌরিপুর 
জেলা- ময়মনসিংহ 
 </t>
  </si>
  <si>
    <t xml:space="preserve">ঈশ্বরগঞ্জ থা: মা: নং-10(3)25
জি আর- 34/25
ধারা- 461/380 পি সি  </t>
  </si>
  <si>
    <t xml:space="preserve">মোঃ ফরহাদ হোসেন 
পিতা- মোঃ বাবুল মিয়া </t>
  </si>
  <si>
    <t xml:space="preserve">গ্রাম- চরফ্যাসন 
থানা- দুলারহাট 
জেলা- ভোলা 
 </t>
  </si>
  <si>
    <t xml:space="preserve">মোহাম্মাদপুর থা: মা: নং-6(9)25
ধারা- 302/109/34 পি সি 
(2)মোহাম্মাদপুর থা: মা: নং- 25(2)25
ধারা- সন্ত্রাস বিরোধী আইন 2009(সং/2013) এর 6/7/8/9/10/12/13
(3) মোহাম্মাদপুর থা: মা: নং- 64(5)25
ধারা- 143/323/324/326/
307/506 পি সি </t>
  </si>
  <si>
    <t xml:space="preserve">মোঃ ওয়াহিদ হাসান 
পিতা- আবুল কালাম </t>
  </si>
  <si>
    <t xml:space="preserve">গ্রাম- কাশেম পারা 
থানা- বান্দরবান সদর 
জেলা- বান্দরবান 
 </t>
  </si>
  <si>
    <t>জি আর - 131/25
ধারা- নারী  ও শিশু নির্যাতন দমন আইন ২০০০ এর 9(1)</t>
  </si>
  <si>
    <t>19/1125</t>
  </si>
  <si>
    <t xml:space="preserve">টুটুল দেওয়ান 
পিতা- আনোয়ার হোসেন </t>
  </si>
  <si>
    <t xml:space="preserve">গ্রাম- গোমালপুর 
থানা- জাজিরা 
জেলা- মুন্সিগঞ্জ
 </t>
  </si>
  <si>
    <t xml:space="preserve">পদ্মা সেতু উত্তর থা: মা: নং-6(10)252
ধারা- 394 পি সি  </t>
  </si>
  <si>
    <t xml:space="preserve">শিশু আদালত 
মুন্সিগঞ্জ </t>
  </si>
  <si>
    <t xml:space="preserve">মোঃ ইমন 
পিতা- সলিমুল্লাহ ৥ আব্দুল </t>
  </si>
  <si>
    <t xml:space="preserve">গ্রাম- রংপুর 
থানা- চকরিয়া 
জেলা- কক্সবাজার 
 </t>
  </si>
  <si>
    <t xml:space="preserve">জি আর- 107/25(এস)
ধারা- 394 পি সি </t>
  </si>
  <si>
    <t xml:space="preserve">রবিউল আলম 
পিতা- আবদু শুক্কুর </t>
  </si>
  <si>
    <t xml:space="preserve">গ্রাম- দরগাপারা 
থানা- টেকনাফ 
জেলা- কক্সবাজার 
 </t>
  </si>
  <si>
    <t xml:space="preserve">নাইক্ষ্যংছরি থা: মা: নং-18
জি আর- 22/22
ধারা- ২০১৮ সনের মাদকদ্রব্য নিয়ন্ত্রন আইন এর ৩৬(১) সারনির10(ক)/41
(2) টেকনাফ থা: মা: নং- 72
জি আর নং- 576/25(টি)
ধারা- 143/341/307/323
/324/325/326/379/506(2) পি সি </t>
  </si>
  <si>
    <t xml:space="preserve">শিশু আদালত 
কক্সবাজার </t>
  </si>
  <si>
    <t xml:space="preserve">মোঃ মোহাম্মাদ করিম 
পিতা- নুরুল করিম </t>
  </si>
  <si>
    <t xml:space="preserve">গ্রাম- বাদশা    
থানা- কক্সবাজার সদর 
জেলা- কক্সবাজার 
 </t>
  </si>
  <si>
    <t xml:space="preserve">কক্সবাজার সদর থা: মা: নং-18
জি আর- 563/25(এস)
ধারা- 457/380/34 পি সি </t>
  </si>
  <si>
    <t xml:space="preserve">ছানা উল্লাহ 
পিতা- মোঃ আবুল বশার </t>
  </si>
  <si>
    <t xml:space="preserve">গ্রাম- শোবুল্লাহকাটা  
থানা- উখিয়া 
জেলা- কক্সবাজার 
 </t>
  </si>
  <si>
    <t xml:space="preserve">রামু থা: মা: নং-15
জি আর- 467/25(আর)
ধারা- 302/201/34 পি সি </t>
  </si>
  <si>
    <t xml:space="preserve">শিশু আদালত-2 
কক্সবাজার </t>
  </si>
  <si>
    <t xml:space="preserve">মোঃ সোহেল 
পিতা- মোজাফ্ফর </t>
  </si>
  <si>
    <t xml:space="preserve">গ্রাম- কেইঙ্গাইরাবিল 
থানা- রামু 
জেলা- কক্সবাজার 
 </t>
  </si>
  <si>
    <t xml:space="preserve">মোঃ শ্রাবন আহম্মেদ ৥ ইভান 
পিতা- আ: মজিদ  </t>
  </si>
  <si>
    <t xml:space="preserve">গ্রাম- ষোলঘর বাজার 
থানা- শ্রীনগর 
জেলা-  ‍মুন্সিগঞ্জ 
 </t>
  </si>
  <si>
    <t>হাজারীবাগ থা: মা: নং-18(9)25
ধারা- সন্ত্রাস বিরোধী আইন 2009(সং/2013) এর 8/9(1)/10/11/12</t>
  </si>
  <si>
    <t xml:space="preserve">মোঃ জাহিদ হাসান হৃদয় 
পিতা- মোঃ হান্নান </t>
  </si>
  <si>
    <t xml:space="preserve">গ্রাম- ভারাটিয়া ভাসমান 
থানা- হাজারীবাগ 
জেলা- ঢাকা 
 </t>
  </si>
  <si>
    <t xml:space="preserve">সাব্বির হোসেন 
পিতা- মোঃ রিপন </t>
  </si>
  <si>
    <t xml:space="preserve">গ্রাম- চিরাগুন্না 
থানা- গলাচিপা 
জেলা- পটুয়াখালী 
 </t>
  </si>
  <si>
    <t xml:space="preserve">মোঃ সাইমন হোসেন 
পিতা- বকুল মিয়া </t>
  </si>
  <si>
    <t xml:space="preserve">গ্রাম- নদহার বাইদ 
থানা- পূবাইল 
জেলা- গাজীপুর 
 </t>
  </si>
  <si>
    <t>তেজগাঁও থা: মা: নং-14(9)25
ধারা- সন্ত্রাস বিরোধী আইন 2009(সং/2013) এর 6(2) এর(আ)(ঈ)(উ)8/9(1)(2)/10/11/12/13</t>
  </si>
  <si>
    <t xml:space="preserve">মোঃ আলিফ 
পিতা- হেলাল উদ্দিন </t>
  </si>
  <si>
    <t xml:space="preserve">গ্রাম- শেরপুর পশ্চিমপারা 
থানা- শেরপুর সদর 
জেলা- শেরপুর 
 </t>
  </si>
  <si>
    <t xml:space="preserve">রাব্বি হোসেন 
পিতা- মোঃ আঃ রহমান </t>
  </si>
  <si>
    <t xml:space="preserve">গ্রাম- গঙ্গাপুর 
থানা- লক্ষীপুর সদর 
জেলা- লক্ষীপুর </t>
  </si>
  <si>
    <t>টঙ্গী পূর্ব থা: মা: নং-31(10)25
ধারা- ২০১৮ সনের মাদকদ্রব্য নিয়ন্ত্রন আইন এর ৩৬(১) সারনির 19 (ক)</t>
  </si>
  <si>
    <t xml:space="preserve">শিশূ আদালত
গাজীপুর </t>
  </si>
  <si>
    <t xml:space="preserve">মোঃ সাব্বির হোসেন ৥ রাব্বি 
পিতা- মোঃ আয়নাল হক  </t>
  </si>
  <si>
    <t xml:space="preserve">গ্রাম- পূর্ব কালিনগর 
থানা- নালিতাবাড়ী 
জেলা- শেরপুর 
 </t>
  </si>
  <si>
    <t xml:space="preserve">শিশু মা: নং- 26/21
জি আর- 394/2019(ক) 
ধারা- নারী  ও শিশু নির্যাতন দমন আইন ২০০০ এর 7/30 তৎসহ 302/201/34 </t>
  </si>
  <si>
    <t xml:space="preserve">শিশূ আদালত
শেরপুর </t>
  </si>
  <si>
    <t xml:space="preserve">মোঃ ফাহিম 
পিতা- সিদ্দিকুর রহমান </t>
  </si>
  <si>
    <t xml:space="preserve">গ্রাম- মেরট মিজি বাড়ী 
থানা- নাঙ্গল র্কোট
জেলা- কুমিল্লা
 </t>
  </si>
  <si>
    <t>আকবর শাহ থা: মা: নং-9(10)25
জি আর- 204/25
ধারা- ২০১৮ সনের মাদকদ্রব্য নিয়ন্ত্রন আইন এর ৩৬(১) সারনির 10(ক)/41</t>
  </si>
  <si>
    <t>বায়জিদ হোসেন আরমান
পিতা- হাবিব মিয়া</t>
  </si>
  <si>
    <t xml:space="preserve">গ্রাম- চক বাজার ডিসি রোড
থানা- চকবাজার 
জেলা- চট্রগ্রাম
 </t>
  </si>
  <si>
    <t>চান্দগাঁও থা: মা: নং-13(11)24
শিশু মা: নং- 38/25
ধারা- ২০১৮ সনের মাদকদ্রব্য নিয়ন্ত্রন আইন এর ৩৬(১) সারনির 10(ক)</t>
  </si>
  <si>
    <t>জামিনে মুক্তি 23-02-26</t>
  </si>
  <si>
    <t xml:space="preserve">রমজান আলী প্র: বাদশা 
পিতা- মোঃ ফিরোজ খান </t>
  </si>
  <si>
    <t xml:space="preserve">গ্রাম- বাস্তহারা 
থানা- বাকলিয়া 
জেলা- চট্রগ্রাম 
 </t>
  </si>
  <si>
    <t>বাকলিয়া থা: মা: নং-7(9)25
ধারা- 457/380 পি সি</t>
  </si>
  <si>
    <t xml:space="preserve">মেট্রো: ম্যাজি: 
চট্রগ্রাম </t>
  </si>
  <si>
    <t xml:space="preserve">মোঃ আহাদ 
পিতা- সোহাগ মিয়া </t>
  </si>
  <si>
    <t xml:space="preserve">গ্রাম- চান্দনা 
থানা- ব্রাক্ষণবাড়ীয়া 
জেলা- কুমিল্লা 
 </t>
  </si>
  <si>
    <t xml:space="preserve">সি আর মা: নং-833/25
ধারা- 323/427/379/506 পি সি </t>
  </si>
  <si>
    <t xml:space="preserve">শিশু আদালদত-2 
কুমিল্লা </t>
  </si>
  <si>
    <t xml:space="preserve">নাদিম মাহমুদ নয়ন 
পিতা- মোঃ মোস্তফা কামাল </t>
  </si>
  <si>
    <t xml:space="preserve">গ্রাম- মুদাফা 
থানা- টংগী পশ্চিম 
জেলা- গাজীপুর 
 </t>
  </si>
  <si>
    <t xml:space="preserve">টংগী পশ্চিম থা: মা: নং-5(4)25
ধারা- 302/34 পি সি </t>
  </si>
  <si>
    <t xml:space="preserve">হাসান 
পিতা- আলমগীর </t>
  </si>
  <si>
    <t xml:space="preserve">গ্রাম- তুলাবাগিচা 
থানা- শ্যামপুর 
জেলা- ঢাকা 
 </t>
  </si>
  <si>
    <t xml:space="preserve">শ্যামপুর থা: মা: নং-13(10)25
ধারা- 379 পি সি </t>
  </si>
  <si>
    <t xml:space="preserve">মোঃ রিফাত বেপারী ৥ সাইকো 
পিতা- জনি বেপারী </t>
  </si>
  <si>
    <t xml:space="preserve">গ্রাম- খেজুরবাগ 
থানা- দক্ষিণ কেরানীগঞ্জ 
জেলা- ঢাকা 
 </t>
  </si>
  <si>
    <t xml:space="preserve">দক্ষিণ কেরানীগঞ্জ থা: মা: নং-45(10)25
ধারা- 143/341/323/325/
302/34 পি সি </t>
  </si>
  <si>
    <t xml:space="preserve">মোঃ আব্দুল আহাদ 
পিতা- মোঃ সুজন  </t>
  </si>
  <si>
    <t xml:space="preserve">গ্রাম- দীঘিপার 
থানা- শ্রীপুর  
জেলা- গাজীপুর 
 </t>
  </si>
  <si>
    <t xml:space="preserve">তেজগাঁও থা: মা: নং-30(10)25
ধারা- 393 পি সি  </t>
  </si>
  <si>
    <t xml:space="preserve">শিশু আদালত-6
ঢাকা </t>
  </si>
  <si>
    <t xml:space="preserve">মোঃ ফয়সাল ইমাম 
পিতা- মোঃ মজিবুর রহমান </t>
  </si>
  <si>
    <t xml:space="preserve">গ্রাম- শ্যামলামী 
থানা- সাভার 
জেলা- ঢাকা 
 </t>
  </si>
  <si>
    <t>সাভার থা: মা: নং-67(10)25
ধারা- নারী  ও শিশু নির্যাতন দমন আইন ২০০০ এর 7/9(1)/30</t>
  </si>
  <si>
    <t xml:space="preserve">মোঃ মকুট সরকার 
পিতা- মৃত: নজরুল ইসলাম </t>
  </si>
  <si>
    <t xml:space="preserve">গ্রাম- কালাগুজা 
থানা- জামালগঞ্জ 
জেলা- সুনামগঞ্জ 
 </t>
  </si>
  <si>
    <t xml:space="preserve"> জামালগঞ্জ থা: মা: নং-8(10)25
জি আর- 128/25
ধারা- 457/380/411 পি সি </t>
  </si>
  <si>
    <t xml:space="preserve">শিশু আদালত
সুনামগঞ্জ </t>
  </si>
  <si>
    <t xml:space="preserve">মোঃ আরিফ মিয়া 
পিতা- মোঃ রাজু মিয়া </t>
  </si>
  <si>
    <t xml:space="preserve">গ্রাম- রধুনাথপুর 
থানা- ভৈরব 
জেলা- কিশোরগঞ্জ 
 </t>
  </si>
  <si>
    <t xml:space="preserve">সি আর মা: নং- 843(1)25
ধারা- 323/380 পি সি  </t>
  </si>
  <si>
    <t>শিশু আদালদ-2
কিশোরগঞ্জ</t>
  </si>
  <si>
    <t xml:space="preserve">মোঃ কামরুল হাসান 
পিতা- মোঃ আমিনুল ইসলাম </t>
  </si>
  <si>
    <t xml:space="preserve">গ্রাম- বর হাশেমপুর 
থানা- চিবির বন্দর 
জেলা- দিনাজপুর 
 </t>
  </si>
  <si>
    <t xml:space="preserve">শেরে বাংলা থা: মা: নং-24(10)25
ধারা- 302/34 পি সি </t>
  </si>
  <si>
    <t>মোঃ আয়াছ 
পিতা- মোঃ নুর আলম প্র: বদি আলম</t>
  </si>
  <si>
    <t xml:space="preserve">গ্রাম- পালং 
থানা- আলী কদম 
জেলা- বান্দরবান 
 </t>
  </si>
  <si>
    <t>বান্দরবান সদর থা: মা: নং- 7(6)25
জি আর- 68/25
ধারা- নারী  ও শিশু নির্যাতন দমন আইন ২০০০ এর 9(1)</t>
  </si>
  <si>
    <t xml:space="preserve">আমলী আদালত
বান্দরবান </t>
  </si>
  <si>
    <t xml:space="preserve">মোঃ সাগর 
পিতা- মৃত: মাহাবুব </t>
  </si>
  <si>
    <t xml:space="preserve">গ্রাম- বান্দরবান বাসষ্টেসন 
থানা- বান্দরবান সদর 
জেলা- বান্দরবান 
 </t>
  </si>
  <si>
    <t xml:space="preserve">বান্দরবান থা: মা: নং- 5
জি আর- 100/25
ধারা- 379/411 পি সি </t>
  </si>
  <si>
    <t xml:space="preserve">মোঃ আকাশ 
পিতা- আনু মিয়া ৥ হানিফ </t>
  </si>
  <si>
    <t xml:space="preserve">গ্রাম- কালামিয়া বাজার 
থানা- বাকলিয়া 
জেলা- চট্রগ্রাম 
 </t>
  </si>
  <si>
    <t>শিশু মা: নং- 26/22
বাকলিয়া থা: মা: নং- 11(10)22
জি আর- 11/22
ধারা- আইন শৃংঙ্খোলা বিঘ্নকারী অপরাধ দ্রুত বিচার আইন এর 4</t>
  </si>
  <si>
    <t xml:space="preserve">শিশু আদালত-5
চট্রগ্রাম 
</t>
  </si>
  <si>
    <t xml:space="preserve">জাহিদুল ইসলাম আরিফ 
পিতা- নুরুল ইসলমা বাবুল </t>
  </si>
  <si>
    <t xml:space="preserve">গ্রাম- রাঙ্গীপারা 
থানা- হাটহাজারী  
জেলা- চট্রগ্রাম 
 </t>
  </si>
  <si>
    <t xml:space="preserve">হাটহাজারী থা: জি ডি নং- 1501
ধারা- ফৌ: কা: বি: 54(1)
সংযোজন- 302/24 পি সি </t>
  </si>
  <si>
    <t xml:space="preserve">শিশু আদালত-2
চট্রগ্রাম 
</t>
  </si>
  <si>
    <t xml:space="preserve">সামির ৥ সাইফ 
পিতা- সাইফ উদ্দিন খালেদ </t>
  </si>
  <si>
    <t xml:space="preserve">গ্রাম- আলীপুর 
থানা- হাটহাজারী  
জেলা- চট্রগ্রাম 
 </t>
  </si>
  <si>
    <t xml:space="preserve">মোঃ রবিঊল ইসলাম
পিতা- কবির আহম্মেদ </t>
  </si>
  <si>
    <t xml:space="preserve">১. মোটিভেশনাল কাউন্সেলিং করা হয়েছে                 ২. আদালত হাজিরার তারিখের জন্য সংশ্রিষ্ট পেশকারের সঙ্গে যোগাযোগ করা হযেছে </t>
  </si>
  <si>
    <t xml:space="preserve">জাহিদ হোসেন প্র: ফরিদ আলম 
পিতা- নুরল ইসলাম </t>
  </si>
  <si>
    <t xml:space="preserve">গ্রাম- চিকনিপারা 
থানা- মহেশখালী 
জেলা- কক্সবাজার 
 </t>
  </si>
  <si>
    <t xml:space="preserve">মহেশখালী থা: মা: নং-28(10)25
জি আর- 322/25
ধারা- নারী  ও শিশু নির্যাতন দমন আইন ২০০০ এর 9(4)(খ) </t>
  </si>
  <si>
    <t xml:space="preserve">শিশু আদালত-2
কক্সবাজার </t>
  </si>
  <si>
    <t xml:space="preserve">ছলিম উল্লাহ  প্র: বদাইয়া 
পিতা- আবুল কাশেম </t>
  </si>
  <si>
    <t xml:space="preserve">গ্রাম- উত্তর বিল 
থানা- উখিয়া 
জেলা- কক্সবাজার 
 </t>
  </si>
  <si>
    <t>উখিয়া থা: মা: নং-11(4)23
জি আর- 185/23
ধারা- নারী  ও শিশু নির্যাতন দমন আইন ২০০০ এর 9(1)</t>
  </si>
  <si>
    <t xml:space="preserve">মামুনুর রশিদ ৥ গুরাইয়া
পিতা- নুরুল আলম </t>
  </si>
  <si>
    <t xml:space="preserve">গ্রাম- পূর্ব হাজারীপারা 
থানা- রামু 
জেলা- কক্সবাজার 
 </t>
  </si>
  <si>
    <t xml:space="preserve"> রামু থা: মা: নং-45(10)25
জি আর- 675/25
ধারা- ২০১৮ সনের মাদকদ্রব্য নিয়ন্ত্রন আইন এর ৩৬(১) সারনির 10(গ)</t>
  </si>
  <si>
    <t xml:space="preserve">জুনায়েত হোসাইন 
পিতা- শহীদ মিয়া </t>
  </si>
  <si>
    <t xml:space="preserve">গ্রাম- উত্তর কাফরুল 
থানা- কাফরুল 
জেলা- ঢাকা 
 </t>
  </si>
  <si>
    <t>কাফরুল থা: মা: নং-19(10)25
ধারা- নারী  ও শিশু নির্যাতন দমন আইন ২০০০ এর 9(3)/30</t>
  </si>
  <si>
    <t xml:space="preserve">এম. এ লিমন 
পিতা- এম. এ মাহাবুব </t>
  </si>
  <si>
    <t xml:space="preserve">গ্রাম- বাজপারা 
থানা- কাফরুল 
জেলা- ঢাকা 
 </t>
  </si>
  <si>
    <t xml:space="preserve">মোঃ আরাফাত প্র: ককটেল 
পিতা- আইয়ুব </t>
  </si>
  <si>
    <t xml:space="preserve">গ্রাম- উল্লাপারা 
থানা- রাউজান 
জেলা- চট্রগ্রাম 
 </t>
  </si>
  <si>
    <t xml:space="preserve">রাউজান থা: মা: নং-2(2)25
জি আর- 27/25
ধারা- 302/326/307/34পি সি </t>
  </si>
  <si>
    <t>শিশু আদালত 
চট্রগ্রাম</t>
  </si>
  <si>
    <t xml:space="preserve">মোঃ জুবায়েদ 
পিতা- মোঃ হাবিবুর রহমান </t>
  </si>
  <si>
    <t xml:space="preserve">গ্রাম- লোহাগাছা 
থানা- শ্রীপুর 
জেলা- গাজীপুর 
 </t>
  </si>
  <si>
    <t xml:space="preserve">শ্রীপুর থা: মা: নং-23(5)25
জি আর- 238/25
ধারা- 323/302/114/34 পি সি </t>
  </si>
  <si>
    <t xml:space="preserve">মোঃ নাঈম মিয়া 
পিতা- গেদু মিয়া </t>
  </si>
  <si>
    <t xml:space="preserve">গ্রাম- রাধা নগর 
থানা-ভৈরব 
জেলা- কিশোরগঞ্জ 
 </t>
  </si>
  <si>
    <t>ভৈরব থা: মা: নং-59/25
ধারা- পুলিশ আইন 34</t>
  </si>
  <si>
    <t xml:space="preserve">শিশু আদালত-2
কিশোরগঞ্জ </t>
  </si>
  <si>
    <t xml:space="preserve">মোঃ জাহিদুল ইসলাম রাব্বি   
পিতা- মৃত: শহিদ হোসেন </t>
  </si>
  <si>
    <t xml:space="preserve">গ্রাম- সবুজ বাগ 
থানা- সদর 
জেলা- খাগরাছড়ী 
 </t>
  </si>
  <si>
    <t xml:space="preserve">খাগরাছড়ী থা: মা: নং-1(7)25
জি আর- 58/25
ধারা- 457/380 পি সি </t>
  </si>
  <si>
    <t xml:space="preserve">শিশু আদালত 
খাগরাছড়ী </t>
  </si>
  <si>
    <t xml:space="preserve">আবু সাঈদ 
পিতা- রুস্তম আলী </t>
  </si>
  <si>
    <t xml:space="preserve">গ্রাম- টেংরাপার 
থানা- ধোবাউরা 
জেলা- ময়মনসিংহ 
 </t>
  </si>
  <si>
    <t xml:space="preserve">সোনাইমুড়ী থা: মা: নং-19(10)25
জি আর- 175
ধারা- 302/34 পি সি </t>
  </si>
  <si>
    <t>শিশু আদালত 
নোয়াখালী</t>
  </si>
  <si>
    <t xml:space="preserve">মোমিন বেপারী 
পিতা- মৃত: বাহার উদ্দিন </t>
  </si>
  <si>
    <t xml:space="preserve">গ্রাম- বাড়ইপারা 
থানা- আশুলিয়া 
জেলা- ঢাকা 
 </t>
  </si>
  <si>
    <t>আশুলিয়া থা: মা: নং-81(10)25
ধারা- 143/447/448/385/
427/380/506/</t>
  </si>
  <si>
    <t xml:space="preserve">মোঃ শেখ রবিউল সানি 
পিতা- শেখ মোঃ গোলাম কিবরিয়া </t>
  </si>
  <si>
    <t xml:space="preserve">গ্রাম- ইট উমিয়া 
থানা- ঈশ্বরগঞ্জ 
জেলা- ময়মনসিংহ 
 </t>
  </si>
  <si>
    <t xml:space="preserve">শিশু মা: নং- 168/25
কেন্দুয়া থা: মা: নং-24(10)25
ধারা-  143/341/323/307/
302/379/506/34 পি সি 
</t>
  </si>
  <si>
    <t xml:space="preserve">শিশু আদালত 
নেত্রকোনা </t>
  </si>
  <si>
    <t xml:space="preserve">শাহীন মিয়া 
পিতা- মোঃ মহিউদ্দিন বাবুল </t>
  </si>
  <si>
    <t xml:space="preserve">গ্রাম- মধুপুর
থানা- ঈশ্বরগঞ্জ 
জেলা- ময়মনসিংহ 
 </t>
  </si>
  <si>
    <t xml:space="preserve">মোঃ জয়নাল আবেদিন 
পিতা- মোঃ ইসলাম উদ্দিন </t>
  </si>
  <si>
    <t xml:space="preserve">মোঃ সজিব মিয়া 
পিতা- হাবুল মিয়া ৥ জহির উদ্দিন </t>
  </si>
  <si>
    <t xml:space="preserve">স্বপন সারোয়ার 
পিতা- মোঃ আবু কাশেম </t>
  </si>
  <si>
    <t xml:space="preserve">মোঃ সেলিম মিয়া ৥ অনিক 
পিতা- মৃত: জাহের উদ্দিন </t>
  </si>
  <si>
    <t xml:space="preserve">মোঃ সারোয়ার হোসেন মুন্না
পিতা- রুহুল আমিন </t>
  </si>
  <si>
    <t xml:space="preserve">মোঃ শাকিল হোসেন ফারুক 
পিতা- আবু খায়ের </t>
  </si>
  <si>
    <t xml:space="preserve">গ্রাম- রাখাবাড়ী 
থানা- তুরাগ 
জেলা- ঢাকা
 </t>
  </si>
  <si>
    <t xml:space="preserve">সি আর  মা: নং- 315/25
ধারা- 323/380/506 পি সি </t>
  </si>
  <si>
    <t xml:space="preserve"> তণ্ময় আহম্মেদ প্র: রাতুল 
পিতা- সেলিম </t>
  </si>
  <si>
    <t xml:space="preserve">গ্রাম- মধ্য পূবাইল 
থানা- মানিকগঞ্জ 
জেলা- মানিকগঞ্জ 
 </t>
  </si>
  <si>
    <t xml:space="preserve">মানিকগঞ্জ থা: মা: নং-14(10)25
ধারা- 302/34 </t>
  </si>
  <si>
    <t xml:space="preserve">শিশু আদালত 
মানিকগঞ্জ </t>
  </si>
  <si>
    <t xml:space="preserve">আব্দুল্লাহ 
পিতা- আবু সুফিয়ান </t>
  </si>
  <si>
    <t xml:space="preserve">গ্রাম- ঘরিয়া পারা 
থানা- টেকনাফ 
জেলা- কক্সবাজার 
 </t>
  </si>
  <si>
    <t xml:space="preserve">টেকনাফ জি আর নং- 428/25
ধারা-323/380/506 পি সি </t>
  </si>
  <si>
    <t xml:space="preserve">শিশু আদালত
কক্সবাজার </t>
  </si>
  <si>
    <t xml:space="preserve">মোঃ ফয়সাল ইসলাম 
পিতা- মোঃ সাইফুল ইসলাম </t>
  </si>
  <si>
    <t xml:space="preserve">গ্রাম- মদনপুর 
থানা- নেত্রকোনা সদর 
জেলা- নেত্রকোনা 
 </t>
  </si>
  <si>
    <t>হাজারীবাগ থা: মা: নং-28(10)25
ধারা- অস্ত্র আইন 19(এফ)</t>
  </si>
  <si>
    <t xml:space="preserve">মোঃ ফারদুল  হাসান রিপ
পিতা- মোঃ আতিক হাসান </t>
  </si>
  <si>
    <t xml:space="preserve">গ্রাম- নিশিন্দা 
থানা- ভালুকা 
জেলা- ময়মনসিংহ 
 </t>
  </si>
  <si>
    <t>ভালুকা থা: মা: নং-30(1)25
জি আর- 30/25
ধারা- সন্ত্রাস বিরোধী আইন 2009(সং/2013) এর 8/9(3)/12/13</t>
  </si>
  <si>
    <t xml:space="preserve">মোঃ আমির হোসেন 
পিতা- মৃত:  মেহের উদ্দিন </t>
  </si>
  <si>
    <t xml:space="preserve">গ্রাম- দারুস সালাম মসজিদ 
থানা- কেরানীগঞ্জ 
জেলা- ঢাকা 
 </t>
  </si>
  <si>
    <t>হাজারীবাগ থা: মা: নং-18(9)25
ধারা- সন্ত্রাস বিরোধী আইন 2009(সং/2013) এর 8/9(2)/12/13</t>
  </si>
  <si>
    <t xml:space="preserve">ডেট উল্লেখ নাই </t>
  </si>
  <si>
    <t xml:space="preserve">মোঃ আবির হোসেন খালিদ 
পিতা- মোঃ খোকন </t>
  </si>
  <si>
    <t xml:space="preserve">গ্রাম- নলগুরা 
থানা- শিবচর 
জেলা- মাদারীপুর 
 </t>
  </si>
  <si>
    <t>ফতুল্লা থা: মা: নং-1(11)25
ধারা- সন্ত্রাস বিরোধী আইন 2009(সং/2013) এর 8/9/10/11/12/</t>
  </si>
  <si>
    <t xml:space="preserve">শিশু আদালত 
নারায়নগঞ্জ </t>
  </si>
  <si>
    <t xml:space="preserve">শুভ মিয়া 
পিতা- সবুজ মিয়া </t>
  </si>
  <si>
    <t xml:space="preserve">গ্রাম- আদমপুর 
থানা- অষ্টগ্রাম 
জেলা- কিশোরগঞ্জ 
 </t>
  </si>
  <si>
    <t>অষ্টগ্রাম থা: মা: নং-4(11)25
জি আর- 147/25
ধারা- নারী  ও শিশু নির্যাতন দমন আইন  2000 (সং/03)এর ৯(১)</t>
  </si>
  <si>
    <t xml:space="preserve">নারী ও শিশু নির্যাতন দমন ট্রাইঃ-
কিশোরগঞ্জ </t>
  </si>
  <si>
    <t xml:space="preserve">মোঃ আবু রায়হান 
পিতা- কাঞ্চন </t>
  </si>
  <si>
    <t xml:space="preserve">গ্রাম- চরনোখাকান্দি  
থানা- কটিয়াদি 
জেলা- কিশোরগঞ্জ 
 </t>
  </si>
  <si>
    <t>কোতয়ালী থা: মা: নং-56(6)25
জি আর- 536/25
ধারা- নারী  ও শিশু নির্যাতন দমন আইন  2000 (সং/03)এর ৯(3)/30</t>
  </si>
  <si>
    <t>১. পরিষ্কার পরিচ্ছন্ন থাকার পরামর্শ দেওয়া হয়েছে ২. লিগ্যাল এইড আইনজীবী নিয়োগ</t>
  </si>
  <si>
    <t xml:space="preserve">নিয়ামত উল্লাহ ৥ নিয়ামূল হেসেন 
পিতা- মৃত: বিল্লাল মিয়িা পালক </t>
  </si>
  <si>
    <t xml:space="preserve">গ্রাম- বগডহর 
থানা- নবীনগর 
জেলা- ব্রাক্ষণবাড়ীয়া 
 </t>
  </si>
  <si>
    <t xml:space="preserve">দেবীদ্বার থা: মা: নং-19(10)25
জি আর- 226/25
ধারা- 381/109/34 পি সি </t>
  </si>
  <si>
    <t xml:space="preserve">শিশু আদলত-2
কুমিল্লা </t>
  </si>
  <si>
    <t xml:space="preserve">রবিন হোসেন 
পিতা- নুর নবী </t>
  </si>
  <si>
    <t xml:space="preserve">গ্রাম- চন্ডিপুর সরকারি আবাসন 
থানা- দাগনভূইয়া 
জেলা- ফেনী 
 </t>
  </si>
  <si>
    <t>দাগনভূইয়া থা: মা: নং-18(10)25
জি আর- 183/25
ধারা- নারী  ও শিশু নির্যাতন দমন আইন  2000 (সং/03)এর ৯(১)</t>
  </si>
  <si>
    <t xml:space="preserve">শিশু আদালত
ফেনী </t>
  </si>
  <si>
    <t xml:space="preserve">মোঃ ইসমাইল হোসেন 
পিতা- মোঃ মফিজ </t>
  </si>
  <si>
    <t xml:space="preserve"> ‘</t>
  </si>
  <si>
    <t>সদর ঘাট থা: মা: নং-1(11)25
ধারা- নারী  ও শিশু নির্যাতন দমন আইন  2000 এর ৯(১)</t>
  </si>
  <si>
    <t xml:space="preserve">শিশু আদালত-7 
চট্রগ্রাম </t>
  </si>
  <si>
    <t xml:space="preserve">সোলাইমান 
পিতা- আ: কদ্দুস </t>
  </si>
  <si>
    <t xml:space="preserve">গ্রাম- সোলাইমানপারা া
থানা- ধোবাউরা 
জেলা- ময়মনসিংহ 
 </t>
  </si>
  <si>
    <t xml:space="preserve"> ধোবাউরা থা: মা: নং-1(11)25
জি আর- 155/25
ধারা- 143/341/302/114/34 পি সি </t>
  </si>
  <si>
    <t xml:space="preserve">আরিফুল আরমান 
পিতা- মোঃ আলাউদ্দিন </t>
  </si>
  <si>
    <t xml:space="preserve">গ্রাম- মিয়াজীবাড়ী 
থানা- ফেনী সদর 
জেলা- ফেনী 
 </t>
  </si>
  <si>
    <t>ফেনী মডেল থা: মা: নং-6(11)25
জি আর- 644/25
ধারা- 170/171/419/402/34  তৎসহ সাইবার সুরক্ষা আইন আধ্যাদেশ 2025 এর 22</t>
  </si>
  <si>
    <t xml:space="preserve">শাহীন আহম্মদ 
পিতা- মৃত: আতাউর রহমান </t>
  </si>
  <si>
    <t xml:space="preserve">গ্রাম- বালুচর 
থানা- শাহপরান(রাহ:)
জেলা- সিলেট 
 </t>
  </si>
  <si>
    <t>শাহপরান(রাহ:) জি আর- 151/25
ধারা- নারী  ও শিশু নির্যাতন দমন আইন  2000 (সং/03)এর ৯(3)</t>
  </si>
  <si>
    <t>শিশু আদালত
সিলেট</t>
  </si>
  <si>
    <t xml:space="preserve">মাহিন 
পিতা- সুহেল আহম্মেদ </t>
  </si>
  <si>
    <t xml:space="preserve">গ্রাম- পশ্চিম বাগ 
থানা- বিশ্বনাথ 
জেলা- সিলেট 
 </t>
  </si>
  <si>
    <t xml:space="preserve"> জালালাবাদ জি আর- 152/25
ধারা- নারী  ও শিশু নির্যাতন দমন আইন  2000 (সং/03)এর ৯(3)</t>
  </si>
  <si>
    <t xml:space="preserve">রাহি
পিতা- বহিমুল </t>
  </si>
  <si>
    <t xml:space="preserve">গ্রাম- ধামালীপারা 
থানা- জালালাবাদ 
জেলা- সিলেট 
 </t>
  </si>
  <si>
    <t xml:space="preserve">সিয়াম 
পিতা- মতিউর রহমান প্রকাশ  </t>
  </si>
  <si>
    <t xml:space="preserve">গ্রাম- ভল্লিগ্রাম 
থানা- খালিয়াজুরি 
জেলা- নেত্রকোনা 
 </t>
  </si>
  <si>
    <t xml:space="preserve">অলি উল্লাহ 
পিতা- মামুন </t>
  </si>
  <si>
    <t xml:space="preserve">গ্রাম- আরিচাপুর 
থানা- টংগীপূর্ব 
জেলা- গাজীপুর 
 </t>
  </si>
  <si>
    <t xml:space="preserve">টংগীপূর্ব থা: মা: নং-4(11)25
ধারা- 457/380 পি সি </t>
  </si>
  <si>
    <t xml:space="preserve">মোঃ হাসিবুল হোসেন 
পিতা- মোঃ রহিম উদ্দিন </t>
  </si>
  <si>
    <t xml:space="preserve">গ্রাম- সেলিমপুর 
থানা- মুলাদী 
জেলা- বরিশাল 
 </t>
  </si>
  <si>
    <t xml:space="preserve">মোহাম্মাদপুর থা: মা: নং-116(10)25
ধারা- দ্রুত বিচার আইন 4/5 </t>
  </si>
  <si>
    <t xml:space="preserve">মোঃ মনিরুল ইসলাম 
পিতা- মৃত: হারেছ আলী </t>
  </si>
  <si>
    <t xml:space="preserve">গ্রাম- বোশিয়াপারা
থানা- ধোবাউরা 
জেলা- ময়মনসিংহ 
 </t>
  </si>
  <si>
    <t xml:space="preserve"> ধোবাউরা থা: মা: নং-3(11)25
জি আর- 157/25
ধারা- নারী  ও শিশু নির্যাতন দমন আইন  2000 এর 7/9(1)/30</t>
  </si>
  <si>
    <t xml:space="preserve">মোঃ তামিম আহম্মেদ 
পিতা- মোঃ গিয়াস উদ্দিন </t>
  </si>
  <si>
    <t xml:space="preserve">গ্রাম- ডিঙ্গাবাঙ্গা 
থানা- মতলব দক্ষিন 
জেলা- চাঁদপুর 
 </t>
  </si>
  <si>
    <t xml:space="preserve">বনানী থা: মা: নং-25(10)256
ধারা- 1974 সনের বিশেষ ক্ষমতা আইন 25 এবিসি </t>
  </si>
  <si>
    <t xml:space="preserve">মেট্রোঃ ম্যাজিঃ ঢাকা </t>
  </si>
  <si>
    <t xml:space="preserve">মোঃ সাকিব 
পিতা- জহিরুল ইসলাম </t>
  </si>
  <si>
    <t xml:space="preserve">গ্রাম- সিপাহীবাগ 
থানা- খিলগাঁও 
জেলা- ঢাকা 
 </t>
  </si>
  <si>
    <t>মতিঝিল থা: মা: নং-12(10)25
জি আর- 280 
ধারা- সন্ত্রাস বিরোধী আইন 2009(সং/2013) এর 8/9/10/11/12/13</t>
  </si>
  <si>
    <t xml:space="preserve">মোঃ সোহেল হাওলাদার 
পিতা- মোঃসিরাজ হাওলাদার </t>
  </si>
  <si>
    <t xml:space="preserve">বকুল মিয়া ৥ ওমাঃ রায়হান মিয়া 
পিতা- মোঃ বাবুল মিয়া </t>
  </si>
  <si>
    <t xml:space="preserve">গ্রাম- পুর্ববাগ 
থানা- নাসিরনগর 
জেলা- ব্রাক্ষনবাড়ীয়া 
 </t>
  </si>
  <si>
    <t>শিশু মা: নং- 72/25
জি আর- 69/25
ধারা- নারী  ও শিশু নির্যাতন দমন আইন  2000 এর 9(4)(খ)</t>
  </si>
  <si>
    <t xml:space="preserve">শিশু আদালত-1
ব্রাক্ষণবাড়ীয়া </t>
  </si>
  <si>
    <t xml:space="preserve">মেহেদী হাসান আলিফ 
পিতা- নাহিদ হাওলাদার </t>
  </si>
  <si>
    <t xml:space="preserve">গ্রাম- 
থানা- মাদারীপুর  
জেলা- মাদারীপুর 
 </t>
  </si>
  <si>
    <t>মাদারীপুর  থা: মা: নং-10(11)25
ধারা- ২০১৮ সনের মাদকদ্রব্য নিয়ন্ত্রন আইন এর ৩৬(১) সারনির 10(ক)</t>
  </si>
  <si>
    <t xml:space="preserve">শিশু আদালত
মাদারীপুর </t>
  </si>
  <si>
    <t xml:space="preserve">গোপাল দাস 
পিতা- আশু কোষ দাষ </t>
  </si>
  <si>
    <t xml:space="preserve">গ্রাম- শংকর ডাক্তার বাড়ী 
থানা- রাউজান 
জেলা- কক্সবাজার 
 </t>
  </si>
  <si>
    <t>রাউজান থা: মা: নং-6(11)25
জি আর- 215/25
ধারা- নারী  ও শিশু নির্যাতন দমন আইন  2000 এর 9(1)</t>
  </si>
  <si>
    <t xml:space="preserve">মোঃ সাব্বির হোসেন 
পিতা- আব্দুল মতিন </t>
  </si>
  <si>
    <t xml:space="preserve">গ্রাম- মীরপারা 
থানা- ডেমরা 
জেলা- ঢাকা 
 </t>
  </si>
  <si>
    <t>ডেমরা থা: মা: নং-12(11)25
ধারা- সন্ত্রাস বিরোধী আইন 2009(সং/2013) এর 8/9/10/12/13
(2) ডেমরা থা: মা: নং- 18(10)25
ধারা- সন্ত্রাস বিরোধী আইন 2009(সং/2013) এর 8/9/10/11/12/13</t>
  </si>
  <si>
    <t xml:space="preserve">মোঃ ফেরদৌস 
পিতা- সোহরাব </t>
  </si>
  <si>
    <t xml:space="preserve">গ্রাম- চনপাপরা 
থানা- রুপগঞ্জ 
জেলা- নারায়নগঞ্জ 
 </t>
  </si>
  <si>
    <t>ডেমরা থা: মা: নং-12(11)25
ধারা- সন্ত্রাস বিরোধী আইন 2009(সং/2013) এর 8/9/10/12/13</t>
  </si>
  <si>
    <t xml:space="preserve">মোঃ আরিফ 
পিতা- জাহাঙ্গীর </t>
  </si>
  <si>
    <t xml:space="preserve">ইমাম হোসেন ৥ রাজন 
পিতা- মোঃ বিল্লাল হোসেন </t>
  </si>
  <si>
    <t xml:space="preserve">মোঃ রাব্বি হোসেন 
পিতা- মহি উদ্দিন </t>
  </si>
  <si>
    <t xml:space="preserve">মোঃ নয়ন 
পিতা- মৃত: ইয়াছিন আলী </t>
  </si>
  <si>
    <t xml:space="preserve">গ্রাম- খোকশাবাড়ী 
থানা- সিরাজগঞ্জ সদর 
জেলা- সিরাজগঞ্জ 
 </t>
  </si>
  <si>
    <t xml:space="preserve">সলংগা থা: মা: নং-9(11)25
জি আর- 266/25
ধারা- 457/380 পি সি </t>
  </si>
  <si>
    <t xml:space="preserve">শিশু আদালত-2
সিরাজগঞ্জ </t>
  </si>
  <si>
    <t xml:space="preserve">মোঃ সোহান সরদার 
পিতা-  মোঃ সহিদুল ইসলাম </t>
  </si>
  <si>
    <t xml:space="preserve">গ্রাম- গারফা 
থানা- মোলারহাট 
জেলা- বাহেরহাট 
 </t>
  </si>
  <si>
    <t>গাছা থা: মা: নং-7(11)25
ধারা- নারী  ও শিশু নির্যাতন দমন আইন  2000 এর 7/30</t>
  </si>
  <si>
    <t xml:space="preserve">ওমর ফারুক ৥ জয় 
পিতা- মৃত: আমির হোসেন </t>
  </si>
  <si>
    <t xml:space="preserve">গ্রাম- আংগরপারা 
থানা- রামগঞ্জ 
জেলা- লক্ষীপুর
 </t>
  </si>
  <si>
    <t>নকলা থা: মা: নং-7(11)25
জি আর- 209/25
ধারা- নারী  ও শিশু নির্যাতন দমন আইন  2000 এর 7/30</t>
  </si>
  <si>
    <t xml:space="preserve">শিশু আদালত 
শেরপুর </t>
  </si>
  <si>
    <t xml:space="preserve">আরমান উল্যা 
পিতা- জাহেদ আলম </t>
  </si>
  <si>
    <t xml:space="preserve">গ্রাম- কালুখালী 
থানা- উখিয়া 
জেলা- কক্সবাজার 
 </t>
  </si>
  <si>
    <t>রামু থা: মা: নং-1(11)25
জি আর- 715/25
ধারা- ২০১৮ সনের মাদকদ্রব্য নিয়ন্ত্রন আইন এর ৩৬(১) সারনির 10(খ)/41</t>
  </si>
  <si>
    <t>১. পরিষ্কার পরিচ্ছন্ন থাকার পরামর্শ ২. নিয়মিত কাউন্সেলিং করা ৩. ১৮ বছর পূর্ণ হওয়ায় বিজ্ঞ আদালতে চিঠি প্রেরণ</t>
  </si>
  <si>
    <t xml:space="preserve">মোঃ ইসমাইল 
পিতা- মোঃ জুবায়ের </t>
  </si>
  <si>
    <t xml:space="preserve">রফিক উল্লাহ 
পিতা- ফজল করিম </t>
  </si>
  <si>
    <t xml:space="preserve">গ্রাম- তুলাতুলি 
থানা- টেকনাফ 
জেলা- কক্সবাজার 
 </t>
  </si>
  <si>
    <t xml:space="preserve">টেকনাফ থা: মা: নং-77(8)25
জি আর- 581
ধারা- 379/411/34 </t>
  </si>
  <si>
    <t xml:space="preserve">আতিকুর রহমান 
পিতা- আলী আহাম্মদ </t>
  </si>
  <si>
    <t xml:space="preserve">গ্রাম- দক্ষিন পারা 
থানা- দোহার 
জেলা- ঢাকা 
 </t>
  </si>
  <si>
    <t>দোহার থা: মা: নং-10(4)25
ধারা- নারী  ও শিশু নির্যাতন দমন আইন  2000 এর 7/8/30
বংশাল থা: মা: নং- 16(9)25
ধারা- নারী  ও শিশু নির্যাতন দমন আইন  2000 এর 7/30</t>
  </si>
  <si>
    <t xml:space="preserve">মোঃ শাওন 
পিতা- মোহাম্মাদ আলী </t>
  </si>
  <si>
    <t xml:space="preserve">গ্রাম- গোল্লা গোবিন্দপুর 
থানা- নবাবগঞ্জ 
জেলা- ঢাকা
 </t>
  </si>
  <si>
    <t>মোহাম্মাদপুর থা: মা: নং-33(11)25
ধারা- নারী  ও শিশু নির্যাতন দমন আইন  2000 এর 7/30</t>
  </si>
  <si>
    <t xml:space="preserve">মোস্তাকিম 
পিতা- মৃত: মোহাম্মাদ আলী </t>
  </si>
  <si>
    <t xml:space="preserve">গ্রাম- আট আনী পুকুরপার 
থানা- কোতয়ালী 
জেলা- ময়মনসিংহ 
 </t>
  </si>
  <si>
    <t xml:space="preserve">কোতয়ালী থা: মা: নং-94(9)25
জি আর- 868/25
ধারা- 457/328/380 পি সি </t>
  </si>
  <si>
    <t xml:space="preserve">মোঃ হামিদুল 
পিতা- মোঃ আব্দুস ছালাম </t>
  </si>
  <si>
    <t xml:space="preserve">গ্রাম- পশ্চিম গজারিকুরা 
থানা- ঝিনাইগাতী 
জেলা- শেরপুর 
 </t>
  </si>
  <si>
    <t xml:space="preserve"> ঝিনাইগাতী থা: মা: নং- 3(11)25
জি আর- 181/25
ধারা- ২০১৮ সনের মাদকদ্রব্য নিয়ন্ত্রন আইন এর ৩৬(১) সারনির 10(ক)</t>
  </si>
  <si>
    <t xml:space="preserve">শিশু আদালত 
 শেরপুর </t>
  </si>
  <si>
    <t xml:space="preserve">মোঃ রোসাদ আহম্মদ রানা 
পিতা- মোঃ উজ্জল মিয়া  </t>
  </si>
  <si>
    <t xml:space="preserve">গ্রাম- চকপাঠক 
থানা- শেরপুর সদর 
জেলা- শেরপুর 
 </t>
  </si>
  <si>
    <t>শেরপুর থা: মা: নং-43(9)22
জি আর- 650/22(ক)
ধারা- ২০১৮ সনের মাদকদ্রব্য নিয়ন্ত্রন আইন এর ৩৬(১) সারনির 10(ক)</t>
  </si>
  <si>
    <t xml:space="preserve">শিশু আদালত
 শেরপুর </t>
  </si>
  <si>
    <t>মোঃ আকাশ 
পিতা- মোঃ জুনাব আলী (পালক পিতা)</t>
  </si>
  <si>
    <t xml:space="preserve">গ্রাম- বড়ইকুরি 
থানা- শ্রীবরদী
জেলা- শেরপুর 
 </t>
  </si>
  <si>
    <t xml:space="preserve">জি আর- 221/2019
ধারা- 379/411 পি সি 
শ্রীবরদী থা: মা: নং- 8(2)25
জি আর নং- 28/25
ধারা- 461/380/411 পি সি </t>
  </si>
  <si>
    <t xml:space="preserve">লুপাশা 
পিতা- শুক্কুর আলী </t>
  </si>
  <si>
    <t xml:space="preserve">গ্রাম- মানিকদি 
থানা- ভৈরব 
জেলা- কিশোরগঞ্জ 
 </t>
  </si>
  <si>
    <t>কুলিয়ারচর জিডি নং595/25 
ধারা- 151</t>
  </si>
  <si>
    <t xml:space="preserve">শিশু আদালত-2
কিশোরগঞ্জ </t>
  </si>
  <si>
    <t>মোঃ সাকিল 
পিতা- খান হাচান আলী</t>
  </si>
  <si>
    <t xml:space="preserve">গ্রাম- বড় চর সামাইয়া
থানা- ভোলা সদর 
জেলা- ভোলা
 </t>
  </si>
  <si>
    <t>দক্ষিন কেরানীগঞ্জ থা: মা: নং-50(4)24
জি আর- 277/24
ধারা- নারী  ও শিশু নির্যাতন দমন আইন  2000 এর 7/9(1)/30</t>
  </si>
  <si>
    <t xml:space="preserve">শিশু আদলত
ঢাকা </t>
  </si>
  <si>
    <t xml:space="preserve">রাকিব৥ ভর্তা রাকিব
পিতা- মোঃ আহাদ </t>
  </si>
  <si>
    <t xml:space="preserve">গ্রাম- কটিয়া 
থানা- ভোলা সদর 
জেলা- ভোলা
 </t>
  </si>
  <si>
    <t xml:space="preserve">শাহজানপুর থা: মা: নং-27(5)25
ধারা- 392 পি সি </t>
  </si>
  <si>
    <t xml:space="preserve">শাহীন ৥ শাহিনুল আকন্দ
পিতা- হারিছ আকন্দ </t>
  </si>
  <si>
    <t xml:space="preserve">গ্রাম- রামপুর সাদীপুর
থানা- তারাকান্দা
জেলা- ময়মনসিংহ
 </t>
  </si>
  <si>
    <t>হাজারীবাগ থা: মা: নং-27
 ধারা- 302/34 পি সি</t>
  </si>
  <si>
    <t xml:space="preserve">লুৎফর মিয়া 
পিতা- ইব্রাহিম মিয়া </t>
  </si>
  <si>
    <t xml:space="preserve">গ্রাম- চারানাও 
থানা- হবিহঞ্জ 
জেলা- হবিগঞ্জ 
 </t>
  </si>
  <si>
    <t>হবিহঞ্জ থা: মা: নং-11(11)25
জি আর- 303/25
ধারা- নারী  ও শিশু নির্যাতন দমন আইন  2000 এর 9(1)</t>
  </si>
  <si>
    <t xml:space="preserve">রাফি আজমাইন 
পিতা- মোঃ নাঈম শেখ </t>
  </si>
  <si>
    <t xml:space="preserve">গ্রাম- বিশানদী 
থানা- 
জেলা- ফরিদপুর 
 </t>
  </si>
  <si>
    <t>পল্লবী থা: মা: নং-22(11)25
ধারা- ২০১৮ সনের মাদকদ্রব্য নিয়ন্ত্রন আইন এর ৩৬(১) সারনির 19(ক)</t>
  </si>
  <si>
    <t xml:space="preserve">মোঃ জাহিদুল ইসলাম পরশ 
পিতা- ইমাম হোসেন মোরোল  </t>
  </si>
  <si>
    <t xml:space="preserve">গ্রাম- খালুয়াদী 
থানা- পাকুন্দিয়া 
জেলা- কিশোরগঞ্জ 
 </t>
  </si>
  <si>
    <t xml:space="preserve">পাকুন্দিয়া থা: মা: নং-19(5)25
জি আর- 87/25
ধারা- 302/34 পি সি </t>
  </si>
  <si>
    <t>শিশু আদালত-3
কিশোরগঞ্জ</t>
  </si>
  <si>
    <t xml:space="preserve">মোঃ বিজয় 
পিতা- মোঃ নয়ন </t>
  </si>
  <si>
    <t xml:space="preserve">গ্রাম- রওশন শাহ 
থানা- আকবরশাহ 
জেলা- চট্রগ্রাম 
 </t>
  </si>
  <si>
    <t xml:space="preserve">পাহাড়তলী থা: মা: নং-2(12)24
জি আর- 175/24
ধারা- 1974 সনের অস্ত্রআইন এর 19 এফ </t>
  </si>
  <si>
    <t xml:space="preserve">মোঃ মোহন প্র: মোমিন 
পিতা- মো: ফারুক </t>
  </si>
  <si>
    <t xml:space="preserve">গ্রাম- বায়োজিদ মাজার 
থানা- বায়োজিদ বোস্তামী 
জেলা- চট্রগ্রাম 
 </t>
  </si>
  <si>
    <t xml:space="preserve">বায়োজিদ থা: মা: নং-17(10)25
ধারা- 382 পি সি </t>
  </si>
  <si>
    <t xml:space="preserve">আশরাফুল 
পিতা- সাইফুল </t>
  </si>
  <si>
    <t xml:space="preserve">গ্রাম- লালখান বাজার 
থানা- খুলশী 
জেলা- চট্রগ্রাম 
 </t>
  </si>
  <si>
    <t xml:space="preserve">খুলশী থা: মা: নং-14(11)25
জি আর- 212/25
ধারা- 380/45 পি সি </t>
  </si>
  <si>
    <t xml:space="preserve">মোঃ মামুন ৥ রবিন 
পিতা- মোঃ সাদিক </t>
  </si>
  <si>
    <t xml:space="preserve">গ্রাম- ইস্পাহানি 
থানা- খুলশী 
জেলা- চট্রগ্রাম 
 </t>
  </si>
  <si>
    <t xml:space="preserve">ছায়েম মিয়া 
পিতা- মোঃ মোহেল মিয়া </t>
  </si>
  <si>
    <t xml:space="preserve">গ্রাম- দুয়েল 
থানা- কুলাউরা  
জেলা- মৌলভীবাজার 
 </t>
  </si>
  <si>
    <t>কুলাউরা  থা: মা: নং-1(11)25
জি আর- 268/25</t>
  </si>
  <si>
    <t xml:space="preserve">শিশু আদালত
মৌলভীবাজর </t>
  </si>
  <si>
    <t>জামিনে মুক্তি 16-02-26</t>
  </si>
  <si>
    <t xml:space="preserve">রাকিব 
পিতা- জাহিদুল ইসলাম </t>
  </si>
  <si>
    <t xml:space="preserve">গ্রাম- বাসুদেবপুর 
থানা- পলভাঙ্গা 
জেলা- নাটোর 
 </t>
  </si>
  <si>
    <t>ভৈরব থা: মা: নং-54/25
ধারা- 34 পুলিশ আইন</t>
  </si>
  <si>
    <t xml:space="preserve">শিশু আদালত-2 
কিশোরগঞ্জ </t>
  </si>
  <si>
    <t xml:space="preserve">সাজিদ 
পিতা- রহিছ উদ্দিন </t>
  </si>
  <si>
    <t xml:space="preserve">গ্রাম- ব্রাক্ষনখিলা 
থানা- ফুলপুর 
জেলা- ময়মনসিংহ 
 </t>
  </si>
  <si>
    <t xml:space="preserve">মোঃ মিলন ৥ মিজানুর 
পিতা- হেকামত আলী </t>
  </si>
  <si>
    <t xml:space="preserve">গ্রাম-  মন্ডলপারা 
থানা- পাংশা 
জেলা- রাজবাড়ী 
 </t>
  </si>
  <si>
    <t>শাহ আলী থা: মা: নং-12(11)25
ধারা- 1908 সালের বিস্ফোরোক দ্রব্য উপাদান আইন 4/5</t>
  </si>
  <si>
    <t xml:space="preserve">মোঃ ফাহাদ 
পিতা- মোঃ শহিদুল ইসলাম </t>
  </si>
  <si>
    <t xml:space="preserve">গ্রাম- আমবাগান 
থানা- নালীতাবাড়ী 
জেলা- শেরপুর 
 </t>
  </si>
  <si>
    <t xml:space="preserve">নালীতাবাড়ী থা: মা: নং-17(11)25
জি আর- 340/25
</t>
  </si>
  <si>
    <t xml:space="preserve">রাকিবুল ইসলাম রাকিব 
পিতা- আফসার আলী </t>
  </si>
  <si>
    <t xml:space="preserve">গ্রাম- তারাগঞ্জ  
থানা- নালীতাবাড়ী 
জেলা- শেরপুর 
 </t>
  </si>
  <si>
    <t xml:space="preserve">ইব্রহিম গাজী প্র: লাবন 
পিতা- শাহআলম গাজী প্র: সাগর </t>
  </si>
  <si>
    <t xml:space="preserve">গ্রাম- মেশাদী 
থানা- চাঁদপুর সদর 
জেলা- চাঁদপুর 
 </t>
  </si>
  <si>
    <t>চাঁদপুর সদর থা: মা: নং-49(11)25
জি আর- 1153/25
ধারা- নারী  ও শিশু নির্যাতন দমন আইন  2000 এর 9(1) তৎসহ 323</t>
  </si>
  <si>
    <t xml:space="preserve">রবিউল 
পিতা- আহমত উল্লাহ </t>
  </si>
  <si>
    <t xml:space="preserve">গ্রাম- তামুয়া কান্দি 
থানা- মতলব উত্তর 
জেলা- চাঁদপুর 
 </t>
  </si>
  <si>
    <t xml:space="preserve">রুপগঞ্জ থা: মা: নং-63(11)25
ধারা- 143/447/448/323/
325/326/307/380/427/114/506 পি সি </t>
  </si>
  <si>
    <t xml:space="preserve">শিশু আদালত
নারায়নগঞ্জ </t>
  </si>
  <si>
    <t xml:space="preserve">মোঃ নয়ন 
পিতা- আলী হোসেন </t>
  </si>
  <si>
    <t xml:space="preserve">গ্রাম- শিকল বাহা 
থানা- কর্নফুলি 
জেলা- চট্রগ্রাম 
 </t>
  </si>
  <si>
    <t>বাকলিয়া থা: মা: নং-3(11)23
শিশু মা: নং- 43/24</t>
  </si>
  <si>
    <t xml:space="preserve">মোঃ শাকিল 
পিতা- ওহিদ মিয়া </t>
  </si>
  <si>
    <t xml:space="preserve">গ্রাম- ভাওয়ালীপারা 
থানা- দোয়ারাবাজার 
জেলা- সুনামগঞ্জ
 </t>
  </si>
  <si>
    <t>মতিঝিল থা: মা: নং-22(11)25
ধারা- ২০১৮ সনের মাদকদ্রব্য নিয়ন্ত্রন আইন এর ৩৬(১) সারনির 19(ক)/41</t>
  </si>
  <si>
    <t xml:space="preserve">নাহিদ আহম্মেদ শুভ
পিতা- শেখ ফরিদ </t>
  </si>
  <si>
    <t xml:space="preserve">গ্রাম- মালু দপুর 
থানা- মোহনগঞ্জ 
জেলা- নেত্রকোনা 
 </t>
  </si>
  <si>
    <t>শিশু মা: নং- 1706/25
থা: মা: নং-48(3)25 
ধারা- নারী  ও শিশু নির্যাতন দমন আইন  2000 এর 9(1)</t>
  </si>
  <si>
    <t xml:space="preserve">নারী  ও শিশু নির্যাতন দমন ট্রাইঃ 
গাজীপুর 
</t>
  </si>
  <si>
    <t xml:space="preserve">মোঃ মারুফ হোসেন 
পিতা- জাকির হোসেন </t>
  </si>
  <si>
    <t xml:space="preserve">গ্রাম- কনকশ্রী 
থানা- লালমাই 
জেলা- কুমিল্লা 
 </t>
  </si>
  <si>
    <t xml:space="preserve">লালমাই থা: মা: নং-4(11)25
জি আর- 105/25
ধারা- নারী  ও শিশু নির্যাতন দমন আইন  2000 এর 9(1) </t>
  </si>
  <si>
    <t xml:space="preserve">শিশু আদালত 
কুমিল্লা </t>
  </si>
  <si>
    <t xml:space="preserve">ইমন 
পিতা- ইব্রাহিম  </t>
  </si>
  <si>
    <t xml:space="preserve">গ্রাম- আরিচাপুর 
থানা- টঙ্গীপূর্ব 
জেলা- গাজীপুর  </t>
  </si>
  <si>
    <t xml:space="preserve">টঙ্গীপূর্ব থা: মা: নং-4(11)25
ধারা- 457/380 পি সি </t>
  </si>
  <si>
    <t xml:space="preserve">মামাইথীয়াই মার্মা 
পিতা- নিযোয়াই মার্মা </t>
  </si>
  <si>
    <t xml:space="preserve">গ্রাম- দক্ষিন হাফ ছরি 
থানা- মানিকছরি 
জেলা- খাগড়াছড়ি 
 </t>
  </si>
  <si>
    <t>মানিকছরি থা: মা: নং-8(11)25
ধারা- 448/295/427</t>
  </si>
  <si>
    <t xml:space="preserve">মনির আহম্মেদ রনি 
পিতা- আরজু মিয়া </t>
  </si>
  <si>
    <t xml:space="preserve">গ্রাম- নোয়াগাঁও 
থানা- নবাবগঞ্জ 
জেলা- হবিগঞ্জ 
 </t>
  </si>
  <si>
    <t>নবীগঞ্জ থা: মা: নং-19(11)25
জি আর- 264/25
ধারা- নারী  ও শিশু নির্যাতন দমন আইন  2000 এর 7/9(1)/30</t>
  </si>
  <si>
    <t xml:space="preserve">শিশু আদালত-3
হবিগঞ্জ </t>
  </si>
  <si>
    <t>মোঃ প্রান্ত 
পিতা- মোঃ জালাল</t>
  </si>
  <si>
    <t xml:space="preserve">গ্রাম- কুলানপুর 
থানা- হোমনা 
জেলা- কুমিল্লা 
 </t>
  </si>
  <si>
    <t>ক্যান্টনমেন্ট থা: মা: নং-5(11)25
ধারা- ২০১৮ সনের মাদকদ্রব্য নিয়ন্ত্রন আইন এর ৩৬(১) সারনির 10(ক)</t>
  </si>
  <si>
    <t xml:space="preserve">শিশু আদালত-7
ঢাকা </t>
  </si>
  <si>
    <t>অভিভাবকের সাথে ফোনে 0১ বার কথা বলে দেয়া  হয়েছে এবং 0১ বার সাক্ষাৎ করেছে</t>
  </si>
  <si>
    <t xml:space="preserve">উমংচিং মার্মা 
পিতা- মংমে মার্মা </t>
  </si>
  <si>
    <t xml:space="preserve">গ্রাম- মংশেচিং পারা 
থানা- রুমা 
জেলা- বান্দরবান  
 </t>
  </si>
  <si>
    <t xml:space="preserve">রুমা থা: মা: নং-1(5)25
জি আর- 4/25
শিশু মা: নং- 38/25
ধারা- 457/380/411 পি সি  </t>
  </si>
  <si>
    <t xml:space="preserve">মোঃ সুজাত মিয়া 
পিতা- কছিম উদ্দিন </t>
  </si>
  <si>
    <t xml:space="preserve">গ্রাম- মাঝিরাকান্দি 
থানা- ইশ্বরগঞ্জ 
জেলা- ময়মনসিংহ 
 </t>
  </si>
  <si>
    <t>ইশ্বরগঞ্জ সি আর  মা: নং-734/25
ধারা- 448/380/506</t>
  </si>
  <si>
    <t xml:space="preserve">হুমায়ন কবির ৥ কবির 
পিতা- আব্দুল বাছেদ </t>
  </si>
  <si>
    <t xml:space="preserve">গ্রাম- বলাশ্বর 
থানা- ফুলবাড়ীয়া 
জেলা- ময়মনসিংহ 
 </t>
  </si>
  <si>
    <t>ফুলবাড়ীয়া থা: মা: নং-1(10)25
জি আর- 185/25
ধারা- 302/201/109/34</t>
  </si>
  <si>
    <t xml:space="preserve">সাবেল 
পিতা- মকবুল আলী </t>
  </si>
  <si>
    <t xml:space="preserve">গ্রাম- উত্ত্র মিরেরচর 
থানা- বিশ্বনাথ 
জেলা- সিলেট 
 </t>
  </si>
  <si>
    <t xml:space="preserve">বিশ্বনাথ জি আর- 185/25
</t>
  </si>
  <si>
    <t xml:space="preserve">শিশু আদালদ 
সিলেট </t>
  </si>
  <si>
    <t xml:space="preserve">মোঃ সুজন ৥ সুজন 
পিতা- ইমাম আলী </t>
  </si>
  <si>
    <t xml:space="preserve">গ্রাম- কামার সালঙ্গী 
থানা- মনোহরগঞ্জ 
জেলা- নরসিংদী 
 </t>
  </si>
  <si>
    <t xml:space="preserve">মোনোহরদী থা: মা: নং-15(1)26
শিশু মা: নং- 58/25
ধারা- 457/380 পি সি  </t>
  </si>
  <si>
    <t xml:space="preserve">শিশু আদালত 
নরসিংদী </t>
  </si>
  <si>
    <t xml:space="preserve">মোঃ রোকন 
পিতা- মোঃ খোকন </t>
  </si>
  <si>
    <t xml:space="preserve">গ্রাম- 
থানা- হাজারীবাগ 
জেলা- ঢাকা 
 </t>
  </si>
  <si>
    <t xml:space="preserve"> হাজারীবাগ থা: মা: নং-21(11)25
ধারা- 143/341/323/
324/326/307/506/34 পি সি </t>
  </si>
  <si>
    <t xml:space="preserve">মোঃ সজিব 
পিতা- দেলোয়ার হোসেন </t>
  </si>
  <si>
    <t xml:space="preserve">মোঃ সাকিব 
পিতা- মোঃ শাহিন আলম </t>
  </si>
  <si>
    <t xml:space="preserve">গ্রাম- পালাসুতা 
থানা- মুরাদনগর 
জেলা- কুমিল্লা 
 </t>
  </si>
  <si>
    <t xml:space="preserve">মুরাদনগর থা: মা: নং-11(3)23
জি আর- 11/23
ধারা- 143/448/302/109/34 পি সি </t>
  </si>
  <si>
    <t>জামিনে মুক্তি 24-02-26</t>
  </si>
  <si>
    <t xml:space="preserve">মোঃ সামিউল ‍মিয়া 
পিতা- মোঃ আঃ কাইয়ুম </t>
  </si>
  <si>
    <t xml:space="preserve">গ্রাম- বনগজ 
থানা- আখাউরা 
জেলা- ব্রাক্ষনবাড়ীয়া 
 </t>
  </si>
  <si>
    <t>আখাউরা থা: মা: নং-21(11)25
জি আর- 337/25
ধারা- নারী  ও শিশু নির্যাতন দমন আইন  2000 এর 9(1)</t>
  </si>
  <si>
    <t>শিশু আদালত 
ব্রাক্ষনবাড়ীয়া</t>
  </si>
  <si>
    <t xml:space="preserve">গ্রাম- ইসলামপুর
থানা- সদর 
জেলা- খাগড়াছড়ী 
 </t>
  </si>
  <si>
    <t xml:space="preserve">সদর থা: মা: নং-6(8)25
জি আর- 71/25
ধারা- 379/411 পি সি </t>
  </si>
  <si>
    <t xml:space="preserve">শিশু আদালত 
খাগড়াছড়ি </t>
  </si>
  <si>
    <t xml:space="preserve">মোরশেদ আলম 
পিতা- মৃত: জহির উদ্দিন </t>
  </si>
  <si>
    <t xml:space="preserve">গ্রাম- মোহাম্মাদপুর 
থানা- ইসলামপুর 
জেলা- জামালপুর 
 </t>
  </si>
  <si>
    <t>মোগলাবাজার জি আর- 146/25</t>
  </si>
  <si>
    <t xml:space="preserve">মাসুম আহম্মেদ 
পিতা- ফরিদ মিয়া </t>
  </si>
  <si>
    <t xml:space="preserve">গ্রাম- পাইকরাজ 
থানা- গোয়াইনঘাট 
জেলা- সিলেট 
 </t>
  </si>
  <si>
    <t xml:space="preserve">গোয়াইনঘাট জি আর- 111/25
</t>
  </si>
  <si>
    <t xml:space="preserve">মোঃ আল আমিন হোসেন
পিতা- মোঃ ফিরোজ শেখ </t>
  </si>
  <si>
    <t xml:space="preserve">গ্রাম- সাতটা রায়নগর 
থানা- কালুখালী 
জেলা- রাজবাড়ী 
 </t>
  </si>
  <si>
    <t>শিশু মা: নং- 64/25</t>
  </si>
  <si>
    <t xml:space="preserve">শিশু আদালত
রাজবাড়ী </t>
  </si>
  <si>
    <t xml:space="preserve">মোঃ কাউছার মিয়া 
পিতা- মোঃ সাইদুল ইসলাম </t>
  </si>
  <si>
    <t xml:space="preserve">গ্রাম- কতুবমারী 
থানা- নকলা 
জেলা- শেরপুর 
 </t>
  </si>
  <si>
    <t xml:space="preserve">নকলা থা: মা: নং-4(11)25
জি আর- 206/25
ধারা- 143/341/302/114/34 পি  সি </t>
  </si>
  <si>
    <t xml:space="preserve">শাহীন 
পিতা- প্রবাসী নাঈম </t>
  </si>
  <si>
    <t xml:space="preserve">গ্রাম- চারিতালুকা
থানা- রুপগঞ্জ
জেলা- নারয়ানগঞ্জ
 </t>
  </si>
  <si>
    <t xml:space="preserve">রুপগঞ্জ থা: মা: নং-61(5)24
ধারা- 302/201/506/34 </t>
  </si>
  <si>
    <t xml:space="preserve">সাকিবুল হাসান সাকিব
পিতা- মোঃ নরুল ইসলাম </t>
  </si>
  <si>
    <t xml:space="preserve">গ্রাম- পশ্চিম সিংহ
থানা- বুড়িচং
জেলা- কুমিল্লা
 </t>
  </si>
  <si>
    <t xml:space="preserve">বুড়িচং থা: মা: নং-7(11)25
জি আর- 336/25
ধারা- 143/323/326/
307/506 পি সি </t>
  </si>
  <si>
    <t xml:space="preserve">শিশু আদালত
কুমিল্লা </t>
  </si>
  <si>
    <t xml:space="preserve">মোঃ সিজান 
পিতা- দুলাল মিয়া </t>
  </si>
  <si>
    <t xml:space="preserve">গ্রাম- দক্ষিন ভিংগাড়ী
থানা- দেবিদ্বার
জেলা- কুমিল্লা
 </t>
  </si>
  <si>
    <t xml:space="preserve">দেবিদ্বার থা: মা: নং-1(11)25
ধারা- সন্ত্রাস বিরোধী আইন 2009(সং/2013) এর /8/9/10/11/12/13  </t>
  </si>
  <si>
    <t>মোঃ জাহিদ হাসান 
পিতা- শফিকুল ইসলাম</t>
  </si>
  <si>
    <t xml:space="preserve">গ্রাম- বীর আহম্মদপুর 
থানা- গৌরিপুর 
জেলা- ময়মনসিংহ
 </t>
  </si>
  <si>
    <t xml:space="preserve">এয়ারপোট জি আর- 252/25
ধারা- 302/34 পি সি  </t>
  </si>
  <si>
    <t xml:space="preserve">শিশু আদালত 
সিলেট </t>
  </si>
  <si>
    <t>নাদের আহমেদ৥বাদশা আহমেদ
পিতা- কালু মিয়া৥ আবুল কালাম</t>
  </si>
  <si>
    <t xml:space="preserve">গ্রাম- নোয়াগাঁও সাদিপুর
থানা- শাহপরান 
জেলা- সিলেট
 </t>
  </si>
  <si>
    <t xml:space="preserve">শাহপরান জি আর- 292/25 
</t>
  </si>
  <si>
    <t>সালাহউদ্দিন৥আরমান
পিতা- ওসমান গণি</t>
  </si>
  <si>
    <t xml:space="preserve">গ্রাম- বাগারচর 
থানা- সদর 
জেলা- নরসিংদী
 </t>
  </si>
  <si>
    <t>পূবাইল থা: মা: নং-2(12)25
ধারা- 380/411</t>
  </si>
  <si>
    <t>মোঃ রিয়াজ প্রঃরশিদ
পিতা- মৃতঃ মোঃ আমিন</t>
  </si>
  <si>
    <t xml:space="preserve">গ্রাম- 
থানা-উখিয়া 
জেলা- কক্সবাজার
 </t>
  </si>
  <si>
    <t>চন্দনাইশ থা: মা: নং-21(11)25
ধারা- ২০১৮ সনের মাদকদ্রব্য নিয়ন্ত্রন আইন এর ৩৬(১) সারনির 10(গ)/41</t>
  </si>
  <si>
    <t>শিশু আদালত-1
চট্রগ্রাম</t>
  </si>
  <si>
    <t>নাজিবুল হাসান
পিতা- মৃতঃ ফয়েজ আহমেদ</t>
  </si>
  <si>
    <t xml:space="preserve">গ্রাম- 
থানা-উখিয়া 
জেলা- কক্সবাজার
 </t>
  </si>
  <si>
    <t xml:space="preserve">আনছার উল্লাহ
পিতা- মহিম উল্লাহ </t>
  </si>
  <si>
    <t xml:space="preserve">গ্রাম- 
থানা- টেকনাফ 
জেলা- কক্সবাজার
 </t>
  </si>
  <si>
    <t xml:space="preserve"> টেকনাফ থা: মা: নং-96(11)25
জি আর- 865/25
ধারা- 302/34 পি সি </t>
  </si>
  <si>
    <t xml:space="preserve">শিশু আদালত-3
কক্সবাজর </t>
  </si>
  <si>
    <t>মোঃ ইলিয়াছ
পিতা- মৃতঃ ইসলাম</t>
  </si>
  <si>
    <t xml:space="preserve">গ্রাম-
থানা-  টেকনাফ
জেলা- কক্সবাজার
 </t>
  </si>
  <si>
    <t>শেখ জয়
পিতা- মৃতঃনুরুল ইসলাম</t>
  </si>
  <si>
    <t xml:space="preserve">গ্রাম- মাজিরপাড়া
থানা-  টেকনাফ
জেলা- কক্সবাজার
 </t>
  </si>
  <si>
    <t xml:space="preserve"> টেকনাফ থা: মা: নং-105(11)25
জি আর- 874/25</t>
  </si>
  <si>
    <t>মোহাম্মদ রিয়াজ
পিতা- মোহাম্মদ মাহ</t>
  </si>
  <si>
    <t xml:space="preserve">গ্রাম-ব্লক (এম এস ) ই ঘর নং37 
থানা-  টেকনাফ
জেলা- কক্সবাজার
 </t>
  </si>
  <si>
    <t>টেকনাফ থা: মা: নং-101(11)25
জি আর- 870/25
ধারা- ২০১৮ সনের মাদকদ্রব্য নিয়ন্ত্রন আইন এর ৩৬(১) সারনির 10(ক)</t>
  </si>
  <si>
    <t>মোঃ রাব্বি 
পিতা- মোঃ মিলন</t>
  </si>
  <si>
    <t xml:space="preserve">গ্রাম- বাগরাইত
থানা- কটিয়াদি
জেলা- কিশোরগঞ্জ
 </t>
  </si>
  <si>
    <t xml:space="preserve">মেট্রো: ম্যাজি:
ঢাকা  </t>
  </si>
  <si>
    <t>মোঃ সায়ীম
পিতা- মোঃ জামাল</t>
  </si>
  <si>
    <t xml:space="preserve">গ্রাম- মেরাদিয়া মধ্যপাড়া
থানা- খিলগাঁও 
জেলা- ঢাকা
 </t>
  </si>
  <si>
    <t>মতিঝিল থা: মা: নং-12(10)25
জি আর- 280
ধারা- সন্ত্রাস বিরোধী আইন 2009(সং/2013) এর 8/9/10/11/12/13</t>
  </si>
  <si>
    <t>মোঃ সাহিদ
পিতা- মোস্তাক মিয়া</t>
  </si>
  <si>
    <t xml:space="preserve">গ্রাম- সিপাহীবাগ
থানা-খিলগাঁও 
জেলা- ঢাকা
 </t>
  </si>
  <si>
    <t>আসরাফুল ইসলাম
পিতা- সফিকুল ইসলাম</t>
  </si>
  <si>
    <t xml:space="preserve">গ্রাম- মেরাদিয়া 
থানা- খিলগাঁও
জেলা- ঢাকা
 </t>
  </si>
  <si>
    <t>জামিনে মুক্তি 07-02-26</t>
  </si>
  <si>
    <t>মোঃ ফয়সাল মাহমুদ
পিতা- মোঃ ফয়েজ উদ্দিন</t>
  </si>
  <si>
    <t xml:space="preserve">গ্রাম- মাঝিরহাট
থানা- দৌলত খান
জেলা- ভোলা
 </t>
  </si>
  <si>
    <t>গুলশান থা: মা: নং-40(10)25
জি আর- 448
ধারা- সন্ত্রাস বিরোধী আইন 2009(সং/2013) এর 8/9/10/11/12/13</t>
  </si>
  <si>
    <t xml:space="preserve">মোঃ রনি 
পিতা- মোঃ শাহীন </t>
  </si>
  <si>
    <t xml:space="preserve">গ্রাম- বড় বাড়ী 
থানা- খিলগাঁও
জেলা- ঢাকা
 </t>
  </si>
  <si>
    <t>সি আর মামলা নং- 429/25</t>
  </si>
  <si>
    <t xml:space="preserve">মোঃ নিরব হোসেন 
পিতা- তরিকুল ইসলাম </t>
  </si>
  <si>
    <t xml:space="preserve">গ্রাম- সাহেব হাট
থানা- বরিশাল সদর
জেলা- বরিশাল 
 </t>
  </si>
  <si>
    <t>ফতুল্লা থা: মা: নং-1(11)25
ধারা- সন্ত্রাস বিরোধী আইন 2009(সং/2013) এর 6/7/8/10/11/12</t>
  </si>
  <si>
    <t xml:space="preserve">জুডি: ম্যাজি: 
নারায়নগঞ্জ </t>
  </si>
  <si>
    <t>মোঃ রোমান মিয়া
পিতা- মোঃ ফুল মিয়া</t>
  </si>
  <si>
    <t xml:space="preserve">গ্রাম- চাঁরাগাও
থানা- তাহেরপুর
জেলা- সুনামগঞ্জ
 </t>
  </si>
  <si>
    <t>কাশিমপুর থা: মা: নং-1(12)25
ধারা- নারী  ও শিশু নির্যাতন দমন আইন  2000 এর 9(1)</t>
  </si>
  <si>
    <t>মোঃ মহিন মিয়া
পিতা- নুরুজ্জমান</t>
  </si>
  <si>
    <t xml:space="preserve">গ্রাম- রসুলপুর
থানা- মাধবপুর 
জেলা- হবিগঞ্জ
 </t>
  </si>
  <si>
    <t xml:space="preserve">মাধবপুর থা: মা: নং-31(9)25
জি আর- 407/25
ধারা- 395/397 পি সি </t>
  </si>
  <si>
    <t xml:space="preserve">মোঃ ফয়সাল ইসলাম
পিতা- মৃতঃ বিল্লাল হোসেন </t>
  </si>
  <si>
    <t xml:space="preserve">গ্রাম- ঠাকুরগাঁও
থানা- ঠাকরপাড়া
জেলা- গাজীপুর
 </t>
  </si>
  <si>
    <t>জয়দেপুর থা: মা: নং-22(3)25
ধারা- নারী  ও শিশু নির্যাতন দমন আইন  2000 এর 9(3)</t>
  </si>
  <si>
    <t>আমলী আদালত
গাজীপুর</t>
  </si>
  <si>
    <t>মোঃ শিহাব উদ্দিন জীবন
পিতা- জসিম উদ্দিন</t>
  </si>
  <si>
    <t xml:space="preserve">গ্রাম- গোবিন্দপুর শনির আখড়া
থানা- যাত্রাবাড়ী
জেলা- ঢাকা
 </t>
  </si>
  <si>
    <t xml:space="preserve">সি আর  মা: নং-1106/25
ধারা- 323/379 পি সি </t>
  </si>
  <si>
    <t xml:space="preserve">দায়রা জজ- 5
ঢাকা </t>
  </si>
  <si>
    <t>মোঃ রিয়াদ
পিতা- মোঃ রিপন মিয়া</t>
  </si>
  <si>
    <t xml:space="preserve">গ্রাম- দক্ষিণ চান্দলা
থানা- ব্রাক্ষণপাড়া
জেলা- কুমিল্লা 
</t>
  </si>
  <si>
    <t xml:space="preserve">ব্রাক্ষণপাড়া থা: মা: নং-6(12)25
জি আর- 261/25
ধারা- 461/380 পি সি </t>
  </si>
  <si>
    <t xml:space="preserve">আনারুল ইসলাম 
পিতা- মোঃ মোশারফ হোসেন </t>
  </si>
  <si>
    <t xml:space="preserve">গ্রাম- রানীগ্রাম,মালিগাছা
থানা- পাবনা সদর
জেলা- পাবনা
 </t>
  </si>
  <si>
    <t>টঙ্গীপূর্ব থা: মা: নং- 20(12)25
ধারা- নারী  ও শিশু নির্যাতন দমন আইন  2000 এর 9(4)(খ)</t>
  </si>
  <si>
    <t xml:space="preserve">শিশু আদালত  
গাজীপুর </t>
  </si>
  <si>
    <t>19/1/269</t>
  </si>
  <si>
    <t>রবিন
পিতা- মৃতঃ সিদ্দিক</t>
  </si>
  <si>
    <t xml:space="preserve">গ্রাম- জুরাইন
থানা- শ্যামপুর
জেলা- ঢাকা
 </t>
  </si>
  <si>
    <t xml:space="preserve">শ্যামপুর থা: মা: নং-9(12)25
জি আর- 206/25
ধারা- 379/411 পি  সি </t>
  </si>
  <si>
    <t xml:space="preserve">দায়রা জজ 
ঢাকা </t>
  </si>
  <si>
    <t>সেজরাতুল হাসান৥ 
পিতা- মৃতঃ মানিক মিয়া</t>
  </si>
  <si>
    <t xml:space="preserve">গ্রাম- চন্ডিপাড়া
থানা- বেলাব
জেলা- নরসিংদী
 </t>
  </si>
  <si>
    <t>কুরিয়ারচর থা: মা: নং-6(12)25 
ধারা- সন্ত্রাস বিরোধী আইন 2009(সং/2013) এর 6(2) এর (উ)/8/9/10/11/12/13 তৎসহ অস্ত্র আইনের 2009 এর 19(এফ)</t>
  </si>
  <si>
    <t xml:space="preserve">শিশু আদালত 
কিশোরগঞ্জ </t>
  </si>
  <si>
    <t>জামিনে মুক্তি 25-02-26</t>
  </si>
  <si>
    <t>মোঃ সিহাব শেখ
পিতা- মোঃ দুলাল শেখ</t>
  </si>
  <si>
    <t xml:space="preserve">গ্রাম- পূর্ব বাচাতারা
থানা-সিরারগঞ্জ 
জেলা- সিরারগঞ্জ
 </t>
  </si>
  <si>
    <t>সিরারগঞ্জ থা: মা: নং-3(5)25
জি আর- 235/25
ধারা- নারী  ও শিশু নির্যাতন দমন আইন  2000 এর 7/ 9(4)(খ) 
(2) সিরাজগঞ্জ  থা: মা: নং- 59(7)25
জি আর নং - 458/25
ধারা- 458/323/307
/380/506</t>
  </si>
  <si>
    <t>11/1/26
12/1/26</t>
  </si>
  <si>
    <t>মোঃ শাকিল
পিতা- সিদ্দিকুর রহমান</t>
  </si>
  <si>
    <t xml:space="preserve">গ্রাম- নিমুরিয়া
থানা- মুক্তাগাছা
জেলা- ময়মনসিংহ
 </t>
  </si>
  <si>
    <t>মুক্তাগাছা থা: মা: নং-6(12)25
ধারা- নারী  ও শিশু নির্যাতন দমন আইন  2000 এর 7/30</t>
  </si>
  <si>
    <t xml:space="preserve">দায়রা জজ 
ময়মনসিংহ </t>
  </si>
  <si>
    <t>জামিনে মুক্তি 22-02-26</t>
  </si>
  <si>
    <t xml:space="preserve">মোঃ ফারদীন
পিতা- মোঃ ইসমাইল হোসেন </t>
  </si>
  <si>
    <t xml:space="preserve">গ্রাম- সৃতিধারা আবাসিক এলাকা
থানা- কদমতলী
জেলা- ঢাকা
 </t>
  </si>
  <si>
    <t>কদমতলী সি আর মা: নং- 758/25
ধারা- 323/380/506</t>
  </si>
  <si>
    <t>শিশু আদালত-5
ঢাকা</t>
  </si>
  <si>
    <t>রায়হান 
পিতা- মৃতঃ আমিনুল ইসলাম</t>
  </si>
  <si>
    <t xml:space="preserve">গ্রাম- 
থানা-শাহআলী 
জেলা- ঢাকা
 </t>
  </si>
  <si>
    <t>শাহআলী থা: মা: নং-15(12)24
ধারা- ২০১৮ সনের মাদকদ্রব্য নিয়ন্ত্রন আইন এর ৩৬(১) সারনির 19(ক)</t>
  </si>
  <si>
    <t>শিশু আদালত-8
ঢাকা</t>
  </si>
  <si>
    <t>মোঃ নয়ন
পিতা- মৃতঃ রিদুয়ান</t>
  </si>
  <si>
    <t xml:space="preserve">গ্রাম- ইসলাম নগর 
থানা- চকরিয়া
জেলা- কক্সবাজার
 </t>
  </si>
  <si>
    <t>জি আর- 1958/25
ধারা- 323/380/405(2)</t>
  </si>
  <si>
    <t>মোঃ ফাহিম
পিতা- আমান উল্লাহ</t>
  </si>
  <si>
    <t xml:space="preserve">গ্রাম- ছানখোলা উত্তরপাড়া
থানা- কক্সবাজার সদর
জেলা- কক্সবাজার 
 </t>
  </si>
  <si>
    <t xml:space="preserve">জি আর- 384/25
কক্সবাজার সদর থা: মা: নং- 2(12)25
ধারা- 302/34 </t>
  </si>
  <si>
    <t>আব্দুল করিম
পিতা- আছির রহমান</t>
  </si>
  <si>
    <t xml:space="preserve">গ্রাম- রামু ফাদুখীল
থানা- লামা
জেলা- বান্দরবান
 </t>
  </si>
  <si>
    <t>রামু থা: মা: নং-6(12)25
জি আর- 804/25
ধারা- ২০১৮ সনের মাদকদ্রব্য নিয়ন্ত্রন আইন এর ৩৬(১) সারনির 10(ক)</t>
  </si>
  <si>
    <t>আব্বাস
পিতা- হারেস</t>
  </si>
  <si>
    <t xml:space="preserve">গ্রাম- বালুখালী
থানা- উখিয়া
জেলা- কক্সবাজার
 </t>
  </si>
  <si>
    <t>উখিয়া থা: মা: নং-1(12)25
জি আর- 663/25
ধারা- ২০১৮ সনের মাদকদ্রব্য নিয়ন্ত্রন আইন এর ৩৬(১) সারনির 10(ক)</t>
  </si>
  <si>
    <t xml:space="preserve">শিশু আদালত-6
কক্সবাজার </t>
  </si>
  <si>
    <t>নাঈম ইসলাম
পিতা- ফকরুউদ্দিন</t>
  </si>
  <si>
    <t xml:space="preserve">গ্রাম- ভালুকা
থানা- গৌরিপুর
জেলা- ময়মনসিংহ
 </t>
  </si>
  <si>
    <t>রমনা থা: মা: নং-1(10)25
ধারা- নারী  ও শিশু নির্যাতন দমন আইন  2000 এর 10</t>
  </si>
  <si>
    <t>রাজিব হোসেন
পিতা- মৃতঃ আবু বক্কর সিদ্দিক</t>
  </si>
  <si>
    <t xml:space="preserve">গ্রাম- বিলচান্দরা
থানা- ফরিপুর
জেলা- পাবনা
 </t>
  </si>
  <si>
    <t xml:space="preserve">ক্যান্টনমেন্ট থা: মা: নং-1(9)25
ধারা- 457/80 পি সি </t>
  </si>
  <si>
    <t>মোঃ তাওহিদুল ইসলাম
পিতা- মৃতঃ মামুন শেখ</t>
  </si>
  <si>
    <t xml:space="preserve">গ্রাম- চরধুসরগাঁও
থানা- গোসাইর হাঠ
জেলা- শরীয়তপুর
 </t>
  </si>
  <si>
    <t xml:space="preserve">রমনা থা: মা: নং-12(12)25
ধারা- 302/34 পি সি </t>
  </si>
  <si>
    <t>মোঃ ফোরকান
পিতা- মৃতঃ মোঃ জাবের/ জাবেদ</t>
  </si>
  <si>
    <t xml:space="preserve">গ্রাম- বালাঘাটা
থানা- বান্দরবান সদর 
জেলা- বান্দরবান
 </t>
  </si>
  <si>
    <t xml:space="preserve">ইপজেড থা: মা: নং-6(12)25
জি আর- 485/25
ধারা- নারী  ও শিশু নির্যাতন দমন আইন  2000 এর 8 </t>
  </si>
  <si>
    <t xml:space="preserve">অবকাশ কালীন জজ মহানগর দায়রা জজ আদালত 
চট্রগ্রাম </t>
  </si>
  <si>
    <t xml:space="preserve">মোঃ বাবু
পিতা- মোঃ মোজাফ্ফর আহম্মেদ </t>
  </si>
  <si>
    <t xml:space="preserve">গ্রাম- মঘারহাট
থানা- লোহাগাড়া
জেলা- চট্রগ্রাম
 </t>
  </si>
  <si>
    <t xml:space="preserve">বাকলিয়া থা: মা: নং-27(10)25
ধারা- 457/380 </t>
  </si>
  <si>
    <t>মোঃ রাব্বি হোসেন 
পিতা- মোঃ মিরাজ</t>
  </si>
  <si>
    <t xml:space="preserve">গ্রাম- কারুনগর
থানা- হাজারীবাগ 
জেলা- ঢাকা
 </t>
  </si>
  <si>
    <t>কামরাঙ্গীরচর  থা: মা: নং-11(12)25
ধারা- ২০১৮ সনের মাদকদ্রব্য নিয়ন্ত্রন আইন এর ৩৬(১) সারনির 8(ক)</t>
  </si>
  <si>
    <t>সুমন মিয়া
পিতা- মোঃ তারা মিয়া</t>
  </si>
  <si>
    <t xml:space="preserve">গ্রাম- মধ্যাচর (বাদাঘাঠ) 
থানা- তাহিরপুর
জেলা- সুনামগঞ্জ
 </t>
  </si>
  <si>
    <t xml:space="preserve">বিশ্বনাথ থা: মা: নং-6(12)25
জি আর- 167/25
ধারা- 379 পি সি </t>
  </si>
  <si>
    <t>নাইম আহমদ
পিতা- আব্দুর রহিম প্রঃরহিম</t>
  </si>
  <si>
    <t>গ্রাম- পশ্চিম রোকনপুর
থানা-  ওসমানীনগর
জেলা- সিলেট</t>
  </si>
  <si>
    <t>ওসমানীনগর জি আর- 148/25
ওসমানীনগর থা: মা: নং-6(9)25</t>
  </si>
  <si>
    <t>ফাহিম আহমদ
পিতা- আব্দুর রহিম প্রঃরহিম</t>
  </si>
  <si>
    <t xml:space="preserve">গ্রাম- পশ্চিম রোকনপুর
থানা-  ওসমানীনগর
জেলা- সিলেট
 </t>
  </si>
  <si>
    <t>জামিনে মুক্তি 03-02-27</t>
  </si>
  <si>
    <t xml:space="preserve">ইয়াছিন হোসাইন আহমদ তাজুল
পিতা- লেখন মিয়া প্রঃ জাহাঙ্গীর আলম </t>
  </si>
  <si>
    <t>জামিনে মুক্তি 03-02-28</t>
  </si>
  <si>
    <t>মোঃ আব্দুর রহমান
পিতা- হাইউল ইসলাম</t>
  </si>
  <si>
    <t xml:space="preserve">গ্রাম- গোটাপাড়া
থানা- চাপাইনবাবগঞ্জ সদর
জেলা- চাপাইনবাবগঞ্জ
 </t>
  </si>
  <si>
    <t xml:space="preserve"> সলংগা থা: মা: নং-12(12)25
জি আর- 290/25
ধারা- ২০১৮ সনের মাদকদ্রব্য নিয়ন্ত্রন আইন এর ৩৬(১) সারনির 8(গ)</t>
  </si>
  <si>
    <t xml:space="preserve">অবকাশকালীন জজ
 সিরাজগঞ্জ </t>
  </si>
  <si>
    <t>মোঃ আজগর আলী
পিতা- মোঃ ফারুক</t>
  </si>
  <si>
    <t xml:space="preserve">গ্রাম- কাওরান বাজার
থানা- তেজগাঁও
জেলা- ঢাকা
 </t>
  </si>
  <si>
    <t>তেজগাঁও থা : মা: নং- 18(12)25
জি আর- 
ধারা- ২০১৮ সনের মাদকদ্রব্য নিয়ন্ত্রন আইন এর ৩৬(১) সারনির 10(ক)/19(ক)</t>
  </si>
  <si>
    <t>মোঃ রাফি
পিতা- মিজানুর রহমান</t>
  </si>
  <si>
    <t xml:space="preserve">গ্রাম- দেবনগর
থানা- রামগঞ্জ
জেলা- লক্ষীপুর
 </t>
  </si>
  <si>
    <t>রামগঞ্জ থা: মা: নং-13 
জি আর- 195/225
ধারা- নারী  ও শিশু নির্যাতন দমন আইন  2000 এর 9(1)</t>
  </si>
  <si>
    <t>শিশু আদালত 
লক্ষীপুর</t>
  </si>
  <si>
    <t xml:space="preserve">মোঃ তারেক রহমান
পিতা- মমিন </t>
  </si>
  <si>
    <t xml:space="preserve">গ্রাম-ব্রক্ষনপাড়া 
থানা- রামগঞ্জ
জেলা- লক্ষীপুর
 </t>
  </si>
  <si>
    <t>রামগঞ্জ থা: মা: নং-2(10)25
জি আর- 162/25
ধারা- নারী  ও শিশু নির্যাতন দমন আইন  2000 এর 7/ 9(1)/30</t>
  </si>
  <si>
    <t>অবকাশকালীন জজ
লক্ষীপুর</t>
  </si>
  <si>
    <t>আকামন ওরফে মুন্না
পালিত নানা- সাজিদ উদ্দিন</t>
  </si>
  <si>
    <t xml:space="preserve">গ্রাম- শিমুলিয়া
থানা- শিবপুর
জেলা- নরসিংদী
 </t>
  </si>
  <si>
    <t>শিবপুর মডেল থা: মা: নং-5(11)25
ধারা- 379/411</t>
  </si>
  <si>
    <t xml:space="preserve">নারী ও শিশু নির্যাতন দমন ট্রাইঃ- 
নরসিংদী </t>
  </si>
  <si>
    <t>মোঃ রিদয়
পিতা- মোঃ জলিল মিয়া</t>
  </si>
  <si>
    <t xml:space="preserve">গ্রাম- খলাপাড়া
থানা- শিবপুর
জেলা- নরসিংদী
 </t>
  </si>
  <si>
    <t xml:space="preserve">মোঃ আবু বক্কর সিদ্দিক
পিতা- ইসমাইল হোসেন </t>
  </si>
  <si>
    <t xml:space="preserve">গ্রাম- দক্ষিণ সোহাগপুর
থানা- নালিতাবাড়ী
জেলা- শেরপুর
 </t>
  </si>
  <si>
    <t>নালিতাবাড়ি থা: মা: নং-8(10)25
জি আর- 301/25
ধারা- 143/323/324/325/
326/307/114/506/34 পিসি</t>
  </si>
  <si>
    <t>শিশু আদালত 
শেরপুর</t>
  </si>
  <si>
    <t>মোঃ আসিফ
পিতা- মোঃ মারুফ</t>
  </si>
  <si>
    <t xml:space="preserve">গ্রাম- চৌমুহনী
থানা- ডবলমুড়িং
জেলা- চট্রগ্রাম
 </t>
  </si>
  <si>
    <t xml:space="preserve">ডাবলমুরিং থা: মা: নং-11(8)25
ধারা- 143/447/186/332/
333/379/380/307/353/427/435/506/34 তৎসহ 1974 সনের অস্ত্র আইনের 15(3)/25 ডি </t>
  </si>
  <si>
    <t>মোঃ রাকিব
পিতা- মোঃ কামাল</t>
  </si>
  <si>
    <t>গ্রাম- চৌমুহনী
থানা- ডবলমুড়িং
জেলা- চট্রগ্রাম</t>
  </si>
  <si>
    <t xml:space="preserve">ডাবলমুরিং থা: মা: নং-11(8)25
ধারা- 143/447/186/332
/333/379/380/307/353/427/435/506/34 তৎসহ 1974 সনের অস্ত্র আইনের 15(3)/25 ডি </t>
  </si>
  <si>
    <t>ইয়াছিন ৥ রাতুল
পিতা- মোঃ লুৎফর রহমান</t>
  </si>
  <si>
    <t xml:space="preserve">গ্রাম- তল্লাপান সোনাবাড়ী ভাড়াটিয়া
থানা- ফতুল্লা
জেলা- নারায়নগঞ্জ
 </t>
  </si>
  <si>
    <t>ফতুল্লা থা: মা: নং-39(12)25
ধারা- নারী  ও শিশু নির্যাতন দমন আইন  2000 এর 7/30</t>
  </si>
  <si>
    <t>সাইফুল ইসলাম সাগর 
পিতা- দিদারুল ইসলাম</t>
  </si>
  <si>
    <t xml:space="preserve">গ্রাম- খলিফাঘাট
থানা- কামরাঙ্গীরচর
জেলা- ঢাকা 
 </t>
  </si>
  <si>
    <t>কামরাঙ্গীরচর থা: মা: নং-16(12)25
জি আর- 323
ধারা- 307/323/324/325</t>
  </si>
  <si>
    <t xml:space="preserve">মোঃ ইয়াসিন 
পিতা- মৃত মামুনুল হক </t>
  </si>
  <si>
    <t xml:space="preserve">গ্রাম- সুশোন্দা
থানা- মুরাদনগর
জেলা- কুমিল্লা
 </t>
  </si>
  <si>
    <t xml:space="preserve">পাহারতলী থা: মা: নং-22(7)25
ধারা- 379/34 পি সি </t>
  </si>
  <si>
    <t xml:space="preserve">শিশু আদালত
চট্রগ্রাম </t>
  </si>
  <si>
    <t xml:space="preserve">সাকিল
পিতা- রহমত আলী </t>
  </si>
  <si>
    <t xml:space="preserve">গ্রাম- সোনাপুর,বালুচরহাটি
থানা- সুনামগঞ্জ সদর
জেলা- সুনামগঞ্জ
 </t>
  </si>
  <si>
    <t xml:space="preserve">থা: মা: নং-20(12)25
জি আর- 367/25
ধারা- 302/201/34 </t>
  </si>
  <si>
    <t xml:space="preserve">শিশু আদালত 
সুনামগঞ্জ </t>
  </si>
  <si>
    <t>রায়হান মিয়া
পিতা- সাইকুল ইসলাম</t>
  </si>
  <si>
    <t xml:space="preserve">গ্রাম- তিয়শ্রী দক্ষিনপাড়া
থানা- মদন 
জেলা- নেত্রকোনা
 </t>
  </si>
  <si>
    <t>মদন থা: মা: নং- 7(12)25
জি আর- 149(2)25
ধারা- নারী  ও শিশু নির্যাতন দমন আইন  2000 এর 7/30</t>
  </si>
  <si>
    <t>শিশু আদালত
নেত্রকোনা</t>
  </si>
  <si>
    <t>মোঃ ফারদিন 
পিতা- মোঃ মোস্তাক</t>
  </si>
  <si>
    <t xml:space="preserve">গ্রাম- তোরা গোলদারপাড়া
থানা- কোতোয়ালী
জেলা- যশোর
 </t>
  </si>
  <si>
    <t xml:space="preserve">মোহাম্মাদপুর থা: মা: নং-72(12)25
ধারা- 393 পি সি </t>
  </si>
  <si>
    <t>মোঃ সজিব
পিতা- মোঃ খোকন</t>
  </si>
  <si>
    <t xml:space="preserve">গ্রাম- খাইতকান্দা
থানা- সদরপুর
জেলা- ফরিদপুর
 </t>
  </si>
  <si>
    <t>আরাফাত হোসেন ভূইয়া রুদ্র
পিতা- মোঃ মানিক মিয়া</t>
  </si>
  <si>
    <t xml:space="preserve">গ্রাম- চর হোসেনপুর
থানা- ঈশ্বরগঞ্জ
জেলা- ময়মনসিংহ
 </t>
  </si>
  <si>
    <t>ঈশ্বরগঞ্জ থা: মা: নং-18(12)25
জি আর- 223/25
ধারা- পর্নোগ্রাফি আইন এর 8(9)/8(2)/8(3)</t>
  </si>
  <si>
    <t xml:space="preserve">শিশু আদালত
ময়মনসিংহ </t>
  </si>
  <si>
    <t>মোঃ ইয়াছিন মিয়া 
পিতা- জাহাঙ্গীর</t>
  </si>
  <si>
    <t xml:space="preserve">গ্রাম- উলন পশ্চিম রামপুর 
থানা- রামপুরা 
জেলা- ঢাকা
 </t>
  </si>
  <si>
    <t>আখাউরা থা: মা: নং-16(12)25
জি আর- 360/25
ধারা- 324/326/307</t>
  </si>
  <si>
    <t xml:space="preserve">শিশু আদালত-3
ব্রাক্ষনবাড়য়িা </t>
  </si>
  <si>
    <t>গোলাম মোর্শেদ ৥ শুভ
পিতা- সাইফুল ইসলাম</t>
  </si>
  <si>
    <t xml:space="preserve">গ্রাম- চুঙ্গারচালা 
থানা- জয়দেবপুর
জেলা- গাজীপুর
 </t>
  </si>
  <si>
    <r>
      <t>জয়দেবপুর থা: মা: নং-26(12)25
ধারা- নারী  ও শিশু নির্যাতন দমন আইন  2000 এর 9(1)</t>
    </r>
    <r>
      <rPr>
        <b/>
        <sz val="12"/>
        <color theme="1"/>
        <rFont val="NikoshBAN"/>
      </rPr>
      <t xml:space="preserve"> </t>
    </r>
  </si>
  <si>
    <t xml:space="preserve">সুজন মিয়া 
পিতা- মোঃ শাহীন মিয়া </t>
  </si>
  <si>
    <t xml:space="preserve">গ্রাম- কালমেঘা ঘোনাপাড়া
থানা- সখিপুর
জেলা- টাঙ্গাইল
 </t>
  </si>
  <si>
    <t xml:space="preserve">সখিপুর থা: মা: নং-15(12)25
জি আর- 215/25
ধারা- 454/380 পি সি </t>
  </si>
  <si>
    <t xml:space="preserve">অবকাশ কালীন জজ 
টাংগাইল </t>
  </si>
  <si>
    <t xml:space="preserve">মেঃ রফাতুল ইসলাম 
পিতা- মোঃ ইব্রাহিম খলিল </t>
  </si>
  <si>
    <t xml:space="preserve">গ্রাম- ইসলামপুর 
থানা- গুইমারা 
জেলা- খাগরাছড়ী 
 </t>
  </si>
  <si>
    <t xml:space="preserve"> গুইমারা থা: মা: নং-3
জি আর- 45/25
ধারা- নারী  ও শিশু নির্যাতন দমন আইন  2000 এর 7</t>
  </si>
  <si>
    <t xml:space="preserve">শিশু আদালত 
খাগরাছড়ি </t>
  </si>
  <si>
    <t xml:space="preserve">জিহাদ হোসেন 
পিতা- বাবুল মিয়া </t>
  </si>
  <si>
    <t xml:space="preserve">গ্রাম- কশমী 
থানা- বরুড়া 
জেলা- কুমিল্লা 
 </t>
  </si>
  <si>
    <t xml:space="preserve"> বরুড়া থা: মা: নং-12(5)25
জি আর- 80/25
ধারা- নারী  ও শিশু নির্যাতন দমন আইন  2000 এর 9(4)(খ)</t>
  </si>
  <si>
    <t xml:space="preserve">সোলেমান 
পিতা- বাদশা </t>
  </si>
  <si>
    <t xml:space="preserve">গ্রাম- ছয়ছুতি 
থানা- কুলিয়ারচর 
জেলা- কিশোরগঞ্জ
 </t>
  </si>
  <si>
    <t>ভৈরব থা: মা: নং-12(11)25
জি আর- 424/52
ধারা- নারী  ও শিশু নির্যাতন দমন আইন  2000 এর 9(1)</t>
  </si>
  <si>
    <t xml:space="preserve">শামসুল হুদা 
পিতা- মৃত: শামসুল আলম </t>
  </si>
  <si>
    <t xml:space="preserve">গ্রাম- 
থানা- ঈদগাঁও  
জেলা- কক্সবাজার 
 </t>
  </si>
  <si>
    <t>ফেনী মডেল থা: মা: নং-43
ধারা- ২০১৮ সনের মাদকদ্রব্য নিয়ন্ত্রন আইন এর ৩৬(১) সারনির 19(খ)</t>
  </si>
  <si>
    <t xml:space="preserve">রাকিব 
পিতা- আবুল কাশেম ৥ কালু </t>
  </si>
  <si>
    <t xml:space="preserve">গ্রাম- খাদ্যগুদাম 
থানা- শ্রীপুর 
জেলা- গাজীপুর 
 </t>
  </si>
  <si>
    <t xml:space="preserve">শ্রীপুর থা: মা: নং-41(12)25
ধারা- 457/380 পি সি  </t>
  </si>
  <si>
    <t>মোঃ মামুন 
পিতা- ন্দর ইসলাম</t>
  </si>
  <si>
    <t xml:space="preserve">গ্রাম- আটি বরই কান্দি
থানা- কেরানীগঞ্জ 
জেলা- ঢাকা 
 </t>
  </si>
  <si>
    <t xml:space="preserve">ইপিজিড থা: মা: নং-2(8)24
ধারা- বিশেষ ক্ষমতা আইনের 15(3)/25ডি তৎসহ 147/148/149/152/307/332/332/333/343/447/448/379/380/424/435/109/506(2)34 তৎসহ 1908 সনের বিষ্ফোরোক উপাদানকারী আইনের 3/6 </t>
  </si>
  <si>
    <t xml:space="preserve">মিজানুর রহমান মিজান 
পিতা- মনির হোসেন মনু মিয়া </t>
  </si>
  <si>
    <t xml:space="preserve">গ্রাম- সুন্না 
থানা- বাসাইল 
জেলা- টাংগাইল 
 </t>
  </si>
  <si>
    <t xml:space="preserve"> বাসাইল থা: মা: নং-15(10)25
জি আর- 102/25 
ধারা- পর্নোগ্রাফি আইন নিয়ন্ত্রন আইন 2012 এর 8(1)/8(2)(3)5(খ)(7)</t>
  </si>
  <si>
    <t xml:space="preserve">শিশু আদালত
টাংগাইল </t>
  </si>
  <si>
    <t xml:space="preserve">শান্ত 
পিতা- সুজাত মিয়া  </t>
  </si>
  <si>
    <t xml:space="preserve">গ্রাম- দক্ষিন রাজকান্তি 
থানা- কিশোরগঞ্জ 
জেলা- কিশোরগঞ্জ 
 </t>
  </si>
  <si>
    <t xml:space="preserve">কিশোরগঞ্জ থা: মা: নং-48(8)25
জি আর- 403/25
ধারা- 143/147/148/149/
341/302/326/307/109/114/ পি সি </t>
  </si>
  <si>
    <t xml:space="preserve">শিশু আদালত
কিশোরগঞ্জ </t>
  </si>
  <si>
    <t xml:space="preserve"> জাহিদুল ইসলাম মিরাজ প্র: জাহিদ 
পিতা- মোঃ জালাল উদ্দিন মজুমদার সবুজ </t>
  </si>
  <si>
    <t xml:space="preserve">গ্রাম- দূর্গাপুর 
থানা- চৌদ্দগ্রাম 
জেলা- কুমিল্লা 
 </t>
  </si>
  <si>
    <t xml:space="preserve"> চৌদ্দগ্রাম থা: মা: নং-29(12)25
জি আর- 514/25
ধারা- 457/380/34 </t>
  </si>
  <si>
    <t xml:space="preserve">মোঃ রনি 
পিতা- নাছিম ৥ নাছ </t>
  </si>
  <si>
    <t xml:space="preserve">গ্রাম- পূর্বহাটিদামপারা 
থানা- নিকলী 
জেলা- কিশোরগঞ্জ 
 </t>
  </si>
  <si>
    <t xml:space="preserve"> নিকলী থা: মা: নং-11(12)25
জি আর- 107/25
ধারা- ২০১৮ সনের মাদকদ্রব্য নিয়ন্ত্রন আইন এর ৩৬(১) সারনির 10(ক)</t>
  </si>
  <si>
    <t xml:space="preserve">মোঃ মেহেদী হাসান 
পিতা- মোঃ উজ্জল শেখ </t>
  </si>
  <si>
    <t xml:space="preserve">গ্রাম- ধানবান্ধি পানির ট্যাক্নির সামনে 
থানা- সিরাজগঞ্জ সদর 
জেলা- সিরাজগঞ্জ 
 </t>
  </si>
  <si>
    <t xml:space="preserve">সিরাজগঞ্জ সদর থা: মা: নং-40(12)25
জি আর- 698/25
ধারা- 302/34 পি সি </t>
  </si>
  <si>
    <t xml:space="preserve">শিশু আদালত 
সিরাজগঞ্জ </t>
  </si>
  <si>
    <t xml:space="preserve">সুমন প্রমানিক 
পিতা- প্রশান্ত প্রমানিক </t>
  </si>
  <si>
    <t xml:space="preserve">গ্রাম- মাটিয়ানচরা 
থানা- গাবতলী
জেলা- বগুড়া 
 </t>
  </si>
  <si>
    <t>কাশিমপুর থা: মা: নং-14(12)25
ধারা- নারী  ও শিশু নির্যাতন দমন আইন  2000 এর 7/30</t>
  </si>
  <si>
    <t xml:space="preserve">শিশু আদালদ
গাজীপুর </t>
  </si>
  <si>
    <t xml:space="preserve">মোঃ শাকিল 
পিতা- মোঃ জিন্নাত আরী </t>
  </si>
  <si>
    <t xml:space="preserve">গ্রাম- জঙ্গল দক্ষিন 
থানা- রাঙ্গুনিয়া 
জেলা- চট্রগ্রাম 
 </t>
  </si>
  <si>
    <t xml:space="preserve">কোতয়ালী থা: মা: নং-6(10)25
জি আর- 104/25
ধারা- নারী  ও শিশু নির্যাতন দমন আইন  2000 এর 9(1)/30 তৎসহ 342/343/506 পি সি </t>
  </si>
  <si>
    <t xml:space="preserve">শিশু আদালত
রাঙ্গামাটি </t>
  </si>
  <si>
    <t xml:space="preserve">মোঃ আতিক 
পিতা- মোঃ জুনায়েদ </t>
  </si>
  <si>
    <t xml:space="preserve">গ্রাম- অফিসের চর সিকদার 
থানা- রামু 
জেলা- কক্সবাজার 
 </t>
  </si>
  <si>
    <t xml:space="preserve"> রামু থা: মা: নং-44(12)25
জি আর- 830/25
ধারা- 380/411/457 পি সি </t>
  </si>
  <si>
    <t xml:space="preserve">নুর মোহাম্মাদ 
পিতা- মোঃ নুর বশর </t>
  </si>
  <si>
    <t xml:space="preserve">গ্রাম- কতুপালং 
থানা- উখিয়া 
জেলা- কক্সবাজার 
 </t>
  </si>
  <si>
    <t>শিশু মা: নং- 69/21
বাকলিয়া থা: মা: নং-47(8)21
জি আর- 442/21
ধারা- ২০১৮ সনের মাদকদ্রব্য নিয়ন্ত্রন আইন এর ৩৬(১) সারনির 10(ক)</t>
  </si>
  <si>
    <t xml:space="preserve">নাহিদুল হাসান ইমন 
পিতা- নুরুল আমিন ৥ পুতুইন্যা খলিফা </t>
  </si>
  <si>
    <t xml:space="preserve">গ্রাম- বানিয়াপারা 
থানা- কক্সবাজার সদর 
জেলা- কক্সবাজার 
 </t>
  </si>
  <si>
    <t>কক্সবাজার সদর থা: মা: নং-50(8)23
জি আর- 464/23
ধারা- অস্ত্র আইন 1978 সনের 19(এফ)</t>
  </si>
  <si>
    <t xml:space="preserve">শফিক 
পিতা- কালু মিয়া </t>
  </si>
  <si>
    <t xml:space="preserve">গ্রাম- ব্লক বি/41
থানা- উখিয়া 
জেলা- কক্সবাজর 
 </t>
  </si>
  <si>
    <t>উখিয়া থা: মা: নং-42(12)25
জি আর- 704/25
ধারা- বিশেষ ক্ষমতা আইন 4/5</t>
  </si>
  <si>
    <t xml:space="preserve">আবুল কায়েম 
পিতা- মোঃ সাস্তন মিয়া </t>
  </si>
  <si>
    <t xml:space="preserve">গ্রাম- চানগাঁও 
থানা- মদন 
জেলা- নেত্রকোনা 
 </t>
  </si>
  <si>
    <t xml:space="preserve"> মদন থা: মা: নং-13(12)25
ধারা- 302/201/34 পি সি </t>
  </si>
  <si>
    <t xml:space="preserve">শিশু আদালত
নেত্রকোনা </t>
  </si>
  <si>
    <t xml:space="preserve">মোঃ জহিরুল ইসলাম 
পিতা- মোঃ ইদ্রিস মিয়া  </t>
  </si>
  <si>
    <t xml:space="preserve">গ্রাম- কমলপুর 
থানা- মাধবপুর 
জেলা- হবিগঞ্জ 
 </t>
  </si>
  <si>
    <t>শিশু মা: নং- 8/22
ধারা- ২০১৮ সনের মাদকদ্রব্য নিয়ন্ত্রন আইন এর ৩৬(১) সারনির 19(ক)
শিশু মা: নং- 35/22
ধারা- ২০১৮ সনের মাদকদ্রব্য নিয়ন্ত্রন আইন এর ৩৬(১) সারনির 10(ক)</t>
  </si>
  <si>
    <t xml:space="preserve">শিশু আদালত-1
হবিগঞ্জ </t>
  </si>
  <si>
    <t xml:space="preserve">মোঃ মাহফুজ রহমান ইমরান 
পিতা- মোঃ এনামুল হক </t>
  </si>
  <si>
    <t xml:space="preserve">গ্রাম- জাহাঙ্গীপুর 
থানা- মদন 
জেলা- নেত্রকোনা 
 </t>
  </si>
  <si>
    <t xml:space="preserve"> মদন থা: মা: নং-13(12)25
জি আর- 155(2)25
ধারা- 302/201/34 পি সি </t>
  </si>
  <si>
    <t xml:space="preserve">মোঃ পুনাদ আহাম্মেদ অভি 
পিতা- মোঃ আব্দুল মোত্তালেব ৥ মোতালেব  </t>
  </si>
  <si>
    <t xml:space="preserve">গ্রাম- কুরসানগর 
থানা- ত্রিশাল 
জেলা- ময়মনিসিংহ 
 </t>
  </si>
  <si>
    <t xml:space="preserve">ত্রিশাল থা: মা: নং-9(12)25
জি আর- 30/25
ধারা- 143/311/323/325/
326/302/307/114/506 পি সি </t>
  </si>
  <si>
    <t xml:space="preserve">তুসার আহম্মেদ 
পিতা- মোঃ ফরিদুল ইসলাম </t>
  </si>
  <si>
    <t xml:space="preserve">গ্রাম- বর কইট 
থানা- চান্দিনা 
জেলা- কুমিল্লা 
 </t>
  </si>
  <si>
    <t xml:space="preserve">চান্দিনা থা: মা: নং-30(12)25
জি আর- 305/25
ধারা- </t>
  </si>
  <si>
    <t xml:space="preserve">কাইয়ুম মিয়া 
পিতা- মৃত: জহিরুল ইসলাম </t>
  </si>
  <si>
    <t xml:space="preserve">গ্রাম- কেন্দুয়ার 
থানা- পলাশ 
জেলা- নরসিংদী 
 </t>
  </si>
  <si>
    <t xml:space="preserve">শিশু মা: নং-109/23
পলাশ জি আর- 181/23 
ধারা- 323/380/427 পি সি </t>
  </si>
  <si>
    <t xml:space="preserve">সৈয়দ হাবিব আহম্মেদ 
পিতা- সৈয়দ আব্দুল ওহাব </t>
  </si>
  <si>
    <t xml:space="preserve">গ্রাম- পশ্চিম সিরাজনগর 
থানা- ওসমানীনগর 
জেলা- সিলেট 
 </t>
  </si>
  <si>
    <t>ওসমানীনগর সাধারন ডায়রী নং-4(1)26
ক্রমিক নং- 01/26
ধারা- ফৌ: কা: বি: 54</t>
  </si>
  <si>
    <t>সাধারন ডায়েরী</t>
  </si>
  <si>
    <t xml:space="preserve">সাকিব আল হাসান ৥ ইম্মান 
পিতা- তোফাজ্জল হোসেন </t>
  </si>
  <si>
    <t xml:space="preserve">গ্রাম- কৃষ্ণরামপুর 
থানা- সুধারাম 
জেলা- নোয়াখালী 
 </t>
  </si>
  <si>
    <t xml:space="preserve">সুধারাম থা: মা: নং- 28(11)25
জি আর- 411/25
ধারা- 454/380
</t>
  </si>
  <si>
    <t xml:space="preserve">শিশু আদালত-1 
নোয়াখালী 
</t>
  </si>
  <si>
    <t xml:space="preserve">মোঃ তাওসিফ ইসলাম ৥ শুভ 
পিতা- মোঃ রকিবল হাসান জিন্নাহ </t>
  </si>
  <si>
    <t xml:space="preserve">গ্রাম- ধামবন্দি 
থানা- সিরাজগঞ্জ  সদর 
জেলা- সিরাজগঞ্জ 
 </t>
  </si>
  <si>
    <t xml:space="preserve">সিরাজগঞ্জ  সদর থা: মা: নং-40(12)25
ধারা- 302/34 পি সি </t>
  </si>
  <si>
    <t xml:space="preserve">শিশু আদালত-1
সিরাজগঞ্জ </t>
  </si>
  <si>
    <t xml:space="preserve">নাইম 
পিতা- মোঃ তাহারু  </t>
  </si>
  <si>
    <t xml:space="preserve">গ্রাম-  মেওলা কান্দার বাড়ী 
থানা- পূর্বধলা 
জেলা- নেত্রকোনা 
 </t>
  </si>
  <si>
    <t>বনানী থা: মা: নং-3(1)26
ধারা- নারী  ও শিশু নির্যাতন দমন আইন ২০০০ (সং/25) এর 9(1)</t>
  </si>
  <si>
    <t xml:space="preserve">সাজ্জাত হোসেন রিফাত 
পিতা- আবুল কাশেম </t>
  </si>
  <si>
    <t xml:space="preserve">গ্রাম- 1 নং সুপারীওয়ালা পারা
থানা- ডাবলমুরিং 
জেলা- চট্রগ্রাম 
 </t>
  </si>
  <si>
    <t xml:space="preserve">ডাবলমুরিং থা: মা: নং-4(9)25
ধারা- 143/447/332/
353/307/379/427/34 তৎসহ অস্ত্র আইনের 5(3)/25-ডি </t>
  </si>
  <si>
    <t xml:space="preserve">সালমান মজুমদার 
পিতা- নেজাম উদ্দিন </t>
  </si>
  <si>
    <t xml:space="preserve">গ্রাম- পশ্চিম পাঠানগর 
থানা- ছাগলনাইয়া 
জেলা- ফেনী 
 </t>
  </si>
  <si>
    <t>ফুলগাজী থা: মা: নং-10(12)25
জি আর- 140/25
ধারা- নারী  ও শিশু নির্যাতন দমন আইন ২০০০  এর 9(1)</t>
  </si>
  <si>
    <t>শিশু আদালত
ফেনী</t>
  </si>
  <si>
    <t xml:space="preserve">মোঃ ষৌরভ ৥ সামিউল হক শান 
পিতা- আব্দুল লতিফ </t>
  </si>
  <si>
    <t xml:space="preserve">গ্রাম- দূগাপুর 
থানা- দুর্গাপুর 
জেলা- নেত্রকোনা 
 </t>
  </si>
  <si>
    <t>দুর্গাপুর থা: মা: নং-18(11)25
জি আর- 139/25
ধারা- 323/326/307/379/
506(2)(1)</t>
  </si>
  <si>
    <t xml:space="preserve">ইমন 
পিতা- আবু তাহের  </t>
  </si>
  <si>
    <t xml:space="preserve">গ্রাম- হাত্রাপারা 
থানা- করিমগঞ্জ 
জেলা- কিশোরগঞ্জ 
 </t>
  </si>
  <si>
    <t>করিমগঞ্জ থা: মা: নং-9(9)25
জি আর- 219/25
ধারা- নারী  ও শিশু নির্যাতন দমন আইন ২০০০  এর 9(1)</t>
  </si>
  <si>
    <t xml:space="preserve">শিশু আদালত-1
কিশোরগঞ্জ </t>
  </si>
  <si>
    <t xml:space="preserve">মোঃ সালমান আহম্মেদ 
পিতা- মোঃ তোতা মিয়া </t>
  </si>
  <si>
    <t xml:space="preserve">গ্রাম- জগন্নাথপুর 
থানা- বদুরাই 
জেলা- সিলেট 
 </t>
  </si>
  <si>
    <t xml:space="preserve">শাহপরান থা: মা: নং-19(12)25
জি আর- 315/25
</t>
  </si>
  <si>
    <t xml:space="preserve">রাহুল হাসনাথ জিহাদ 
পিতা- এনাম আহম্মেদ </t>
  </si>
  <si>
    <t xml:space="preserve">গ্রাম- কসবা 
থানা- নবীগঞ্জ 
জেলা- হবিগঞ্জ 
 </t>
  </si>
  <si>
    <t xml:space="preserve">মোঃ সাইফুল ইসলাম সাইফ ৥ জাহাঙ্গীর 
পিতা- শফিকুল ইসলাম </t>
  </si>
  <si>
    <t xml:space="preserve">গ্রাম- নারায়নতলা 
থানা- সুনামগঞ্জ সদর 
জেলা- সুনামগঞ্জ 
 </t>
  </si>
  <si>
    <t xml:space="preserve"> কোতয়ালী জি আর- 615/25
</t>
  </si>
  <si>
    <t xml:space="preserve">হৃদয় বিশ্বাস 
পিতা- অনুকিুল বিশ্বাস </t>
  </si>
  <si>
    <t xml:space="preserve">গ্রাম- রতনপুর 
থানা- হবিগঞ্জ সদর 
জেলা- হবিগঞ্জ 
 </t>
  </si>
  <si>
    <t xml:space="preserve">আল আমিন রাহি 
পিতা- আব্দুল আহাদ </t>
  </si>
  <si>
    <t xml:space="preserve">গ্রাম- কুমারপারা 
থানা- কোতয়ালী 
জেলা- সিলেট 
 </t>
  </si>
  <si>
    <t xml:space="preserve"> কোতয়ালী জি আর- 619/25
</t>
  </si>
  <si>
    <t xml:space="preserve">তানভীর ৥ সাবুর 
পিতা- মৃত: সানু মিয়া </t>
  </si>
  <si>
    <t xml:space="preserve">গ্রাম- মাহাদান 
থানা- সরিষাবাড়ী 
জেলা- জামালপুর 
 </t>
  </si>
  <si>
    <t xml:space="preserve">মোঃ সুজন মিয়া 
পিতা- জসিম উদ্দিন </t>
  </si>
  <si>
    <t xml:space="preserve">গ্রাম- চরজিমারী 
থানা- হোসেনপুর 
জেলা- কিশোরগঞ্জ 
 </t>
  </si>
  <si>
    <t xml:space="preserve">হোসেনপুর থা: মা: নং-02(1)26
জি আর- 2/26
ধারা- 394 পি সি </t>
  </si>
  <si>
    <t xml:space="preserve">শিপন মিয়া ৥ জুবায়ের 
পিতা- আজিজুল হক </t>
  </si>
  <si>
    <t xml:space="preserve">গ্রাম- খয়েরদিচর 
থানা- ধর্মপাশা 
জেলা- সুনামগঞ্জ 
 </t>
  </si>
  <si>
    <t>ধর্মপাশা থা: মা: নং-10(11)25
জি আর- 113/25
ধারা- নারী  ও শিশু নির্যাতন দমন আইন ২০০০  এর 9(1)</t>
  </si>
  <si>
    <t xml:space="preserve">মোঃ সোহান 
পিতা- মোঃ হাসান সরকার </t>
  </si>
  <si>
    <t xml:space="preserve">গ্রাম- পশ্চিম বরালী 
থানা- ফরিদগঞ্জ 
জেলা- চাঁদপুর 
 </t>
  </si>
  <si>
    <t xml:space="preserve">ফরিদগঞ্জ থা: মা: নং-22(1)25
ধারা- 392 পি সি </t>
  </si>
  <si>
    <t xml:space="preserve">শিশু আদালত
চাঁদপুর </t>
  </si>
  <si>
    <t xml:space="preserve">হাবিবুল্লাহ 
পিতা- আবুদুস সালাম </t>
  </si>
  <si>
    <t xml:space="preserve">গ্রাম- বেজগাতী 
থানা- সিরাজগঞ্জ 
জেলা- সিরাজগঞ্জ 
 </t>
  </si>
  <si>
    <t xml:space="preserve">সি আর মা: নং- 1477/25
</t>
  </si>
  <si>
    <t xml:space="preserve">মোঃ মোকার আমিন 
পিতা- মোঃ আবুল মিয়া </t>
  </si>
  <si>
    <t xml:space="preserve">গ্রাম- গোবিন্দশ্রী 
থানা- মদন 
জেলা- নেত্রকোনা 
 </t>
  </si>
  <si>
    <t>দারুসসালাম থা: মা: নং-4(1)2 
ধারা- ২০১৮ সনের মাদকদ্রব্য নিয়ন্ত্রন আইন এর ৩৬(১) সারনির 10(ক)/41</t>
  </si>
  <si>
    <t xml:space="preserve">রাসেদুল ইসলাম রাসেল 
পিতা- নুর মোহাম্মাদ </t>
  </si>
  <si>
    <t xml:space="preserve">গ্রাম- পূর্বচাম্বল 
থানা- বাশখালী 
জেলা- চট্রগ্রাম 
 </t>
  </si>
  <si>
    <t xml:space="preserve"> বাশখালী থা: মা: নং-23(6)24
জি আর- 207/24
ধারা- নারী  ও শিশু নির্যাতন দমন আইন ২০০০ (সং/25) এর 7/30</t>
  </si>
  <si>
    <t xml:space="preserve">ফাহিম 
পিতা- তবারক আলী </t>
  </si>
  <si>
    <t xml:space="preserve">গ্রাম- চাতল 
থানা- এয়ারপোট 
জেলা- সিলেট 
 </t>
  </si>
  <si>
    <t xml:space="preserve">এয়ারপোট জি আর- 241/25
 </t>
  </si>
  <si>
    <t xml:space="preserve">রাফি আহম্মোদ ৥ রাফি খান আরাফাত 
পিতা- শাহাব উদ্দিন </t>
  </si>
  <si>
    <t xml:space="preserve">গ্রাম- মজিদপুর 
থানা- গোপালগঞ্জ 
জেলা- সিলেট 
 </t>
  </si>
  <si>
    <t xml:space="preserve">গোপালগঞ্জ জি আর- 249/25
</t>
  </si>
  <si>
    <t xml:space="preserve">মোঃ সাকিন খন্দকার 
পিতা- মিজানুর রহমান মতি </t>
  </si>
  <si>
    <t xml:space="preserve">গ্রাম- ধানকাশি পানির 
থানা- সিরাজগঞ্জ 
জেলা- সিরাজগঞ্জ 
 </t>
  </si>
  <si>
    <t xml:space="preserve">ইয়াকুর আলি 
পিতা- আলাল উদ্দিন </t>
  </si>
  <si>
    <t xml:space="preserve">গ্রাম- 1 নং ছনধারা 
থানা- ফুলপুর 
জেলা- ময়মনসিংহ 
 </t>
  </si>
  <si>
    <t>ফুলপুর থা: মা: নং-5(6)24
জি আর- 128/24
ধারা- 143/447/323/324/
325/307/114/506/34</t>
  </si>
  <si>
    <t xml:space="preserve">মোঃ আব্দুল্লাহ 
পিতা- আকবর </t>
  </si>
  <si>
    <t xml:space="preserve">গ্রাম- বঘারচর 
থানা- বকশিগঞ্জ 
জেলা- জামালপুর 
 </t>
  </si>
  <si>
    <t>খিলগাঁও থা: মা: নং-20(1)26
ধারা- ২০১৮ সনের মাদকদ্রব্য নিয়ন্ত্রন আইন এর ৩৬(১) সারনির 19(ক)</t>
  </si>
  <si>
    <t>1802/26</t>
  </si>
  <si>
    <t>জামিনে মুক্তি 15-02-26</t>
  </si>
  <si>
    <t xml:space="preserve">মোঃ ওলিউল্লাহ রিফাত 
পিতা- মোঃ শহিদুল ইসলাম </t>
  </si>
  <si>
    <t xml:space="preserve">গ্রাম- দিঘরিয়া 
থানা- তারাশ 
জেলা- সিরাজগঞ্জ 
 </t>
  </si>
  <si>
    <t xml:space="preserve">মোঃ শাহিন 
পিতা- মোঃ ফয়সাল </t>
  </si>
  <si>
    <t xml:space="preserve">গ্রাম- বন্দর বেললাইন 
থানা- বন্দর 
জেলা- নারায়নগঞ্জ 
 </t>
  </si>
  <si>
    <t>নারায়নগঞ্জ থা: মা: নং-31(12)25
ধারা- 379/411</t>
  </si>
  <si>
    <t xml:space="preserve">মুন্না হাসান অয়ন  
পিতা- মোঃ আবুল কাশেম </t>
  </si>
  <si>
    <t xml:space="preserve">গ্রাম- গাহেরপারা 
থানা- জমালপুর 
জেলা- জামালপুর 
 </t>
  </si>
  <si>
    <t xml:space="preserve">জমালপুর সদর থা: মা: নং-22(1)26
জি আর- 22(2)26
ধারা- 143/341/302/114/34 পি সি  </t>
  </si>
  <si>
    <t xml:space="preserve">শিশু আদালত-1
জামালপুর </t>
  </si>
  <si>
    <t xml:space="preserve">সাকিব ৥ সাকিব হাসান
পিতা- হাবিবুর রহমান </t>
  </si>
  <si>
    <t xml:space="preserve">গ্রাম- তারাকান্দা 
থানা- মনোহরদী 
জেলা- নরসিংদী 
 </t>
  </si>
  <si>
    <t>মনোহরদী থা: মা: নং-3(1)26
ধারা- নারী  ও শিশু নির্যাতন দমন আইন ২০০০ এর 7/30</t>
  </si>
  <si>
    <t xml:space="preserve">রাশিদুল ভূইয়া 
পিতা- মল্লা ভূইয়া </t>
  </si>
  <si>
    <t xml:space="preserve">গ্রাম- দত্তেরগাও 
থানা- শিবপুর 
জেলা- নরসিংদী 
 </t>
  </si>
  <si>
    <t xml:space="preserve"> শিবপুর থা: মা: নং-3(1)26
ধারা- 380/411 পি সি </t>
  </si>
  <si>
    <t xml:space="preserve">উজ্জল মিয়া 
পিতা- মোশারফ </t>
  </si>
  <si>
    <t xml:space="preserve">গ্রাম- সিরাজনগর 
থানা- রায়পুর 
জেলা- নরসিংদী 
 </t>
  </si>
  <si>
    <t xml:space="preserve">রায়পুর থা: মা: নং-13(1)26
জি আর- 13/26
ধারা- 143/148/147/323/
26/307/506/114/34  পি সি </t>
  </si>
  <si>
    <t xml:space="preserve">মোঃ সিরাজুল ইসলাম 
পিতা- মোহাম্মাদ আলী </t>
  </si>
  <si>
    <t xml:space="preserve">গ্রাম- 301, সংগ্রামী 
থানা- দক্ষিন খান 
জেলা- ঢাকা 
 </t>
  </si>
  <si>
    <t>দক্ষিন খান থা: মা: নং-13(1)26
ধারা- 4063/420/506</t>
  </si>
  <si>
    <t xml:space="preserve">মোঃ বায়জিদ 
পিতা- মোঃ হেলাল উদ্দিন </t>
  </si>
  <si>
    <t xml:space="preserve">গ্রাম- ফুলকোচা 
থানা- সিরাজগঞ্জ 
জেলা- সিরাজগঞ্জ 
 </t>
  </si>
  <si>
    <t xml:space="preserve"> সিরাজগঞ্জ সদর থা: মা: নং-6(1)26
জি আর- 6/26
ধারা- নারী  ও শিশু নির্যাতন দমন আইন ২০০০ এর7/30</t>
  </si>
  <si>
    <t xml:space="preserve">মোঃ অমিত হাসান 
পিতা- দুলাল মিয়া </t>
  </si>
  <si>
    <t xml:space="preserve">গ্রাম- ভাঙ্গা 
থানা- জামালগঞ্জ 
জেলা- সুনামগঞ্জ 
 </t>
  </si>
  <si>
    <t>থা: মা: নং- 4(10)24
জি আর- 107/24</t>
  </si>
  <si>
    <t xml:space="preserve">মোঃ আব্দুল্লাহ মিরাজ 
পিতা- ফজলুর রহমান </t>
  </si>
  <si>
    <t xml:space="preserve">গ্রাম- দেওকামতা 
থানা- চান্দিনা 
জেলা- কুমিল্লা 
 </t>
  </si>
  <si>
    <t xml:space="preserve">চান্দিনা থা: মা: নং-9(1)26
জি আর- 9/26
ধারা- 143/323/326/307/
354/506(1) পি সি </t>
  </si>
  <si>
    <t xml:space="preserve">সজিব হোসেন 
পিতা- জাহাঙ্গীর হোসেন </t>
  </si>
  <si>
    <t xml:space="preserve">গ্রাম- দূর্গাপূর কণেশতলা 
থানা- সদর দক্ষিণ মডেল 
জেলা- কুমিল্লা 
 </t>
  </si>
  <si>
    <t>সদর দক্ষিণ মডেল থা: মা: নং- 13(1)26
ধারা- ২০১৮ সনের মাদকদ্রব্য নিয়ন্ত্রন আইন এর ৩৬(১) সারনির 19(ক)</t>
  </si>
  <si>
    <t xml:space="preserve">রায়েল 
পিতা- অজ্ঞাত </t>
  </si>
  <si>
    <t xml:space="preserve">গ্রাম- অজ্ঞাত 
থানা- অজ্ঞাত 
জেলা- সিলেট 
 </t>
  </si>
  <si>
    <t xml:space="preserve">কোতয়ালী জি আর- 619/25
</t>
  </si>
  <si>
    <t xml:space="preserve">নাইম মিয়া 
পিতা- মৃত: সামছু মিয়া </t>
  </si>
  <si>
    <t xml:space="preserve">গ্রাম- গুচ্ছগ্রাম 
থানা- বিশ্বনাথ 
জেলা- সিলেট 
 </t>
  </si>
  <si>
    <t>বিশ্বনাথ জি আর- 168/25</t>
  </si>
  <si>
    <t xml:space="preserve">মোঃ আবু যার গিফারী 
পিতা- বুলবুল আহম্মেদ </t>
  </si>
  <si>
    <t xml:space="preserve">গ্রাম- দাদনপুর 
থানা- সলংগা 
জেলা- সিরাজগঞ্জ 
 </t>
  </si>
  <si>
    <t>সলংগা থা: মা: নং-16(9)24
জি আর- 300/24
শিশু মা: নং- 41/25
ধারা- নারী  ও শিশু নির্যাতন দমন আইন ২০০০ এর 9(1)</t>
  </si>
  <si>
    <t xml:space="preserve">মোঃ আঃ রহমান 
পিতা- মোঃ জাহাঙ্গীর কবির </t>
  </si>
  <si>
    <t xml:space="preserve">গ্রাম- বীর কাচি হরি 
থানা- হোসেনপুর 
জেলা- কিশোরগঞ্জ 
 </t>
  </si>
  <si>
    <t>কোতয়ালী থা: মা: নং-30(1)26
জি আর- 30/26
ধারা- 143/323/326/
307/379/114/506(2)</t>
  </si>
  <si>
    <t xml:space="preserve">মোঃ রিদয় ৥ পিচ্চি রিদয় 
পিতা- মোঃ জামাল  </t>
  </si>
  <si>
    <t xml:space="preserve">গ্রাম- নরিয়া 
থানা- শরিয়তপুর 
জেলা- শরিয়তপুর 
 </t>
  </si>
  <si>
    <t>তেজগাঁও থা: মা: নং-23(1)26
ধারা- ২০১৮ সনের মাদকদ্রব্য নিয়ন্ত্রন আইন এর ৩৬(১) সারনির 19(ক)/41</t>
  </si>
  <si>
    <t xml:space="preserve">মোঃ রবিউল ইসলাম 
পিতা- মোঃ রুবেল </t>
  </si>
  <si>
    <t xml:space="preserve">গ্রাম- ব্রাক্ষাকুচরী 
থানা- কিশোরগঞ্জ 
জেলা- কিশোরগঞ্জ
 </t>
  </si>
  <si>
    <t>ধানমন্ডি থা: মা: নং-8(1)26
ধারা- ২০১৮ সনের মাদকদ্রব্য নিয়ন্ত্রন আইন এর ৩৬(১) সারনির 8(ক)/38/41</t>
  </si>
  <si>
    <t xml:space="preserve">মোঃ সাকিব আল হাসান 
পিতা- মোঃ আলাউদ্দিন </t>
  </si>
  <si>
    <t xml:space="preserve">গ্রাম- কাছারীকান্দি 
থানা- রায়পুর 
জেলা- নরসিংদী 
 </t>
  </si>
  <si>
    <t xml:space="preserve">বাড্ডা থা: মা: নং-32(22)25
ধারা- 302/34 পি সি </t>
  </si>
  <si>
    <t xml:space="preserve">ইমতিয়াজ খান তাহসিন 
পিতা- মোঃ মনির খান </t>
  </si>
  <si>
    <t xml:space="preserve">গ্রাম- হাজারীবাগ 
থানা- হাজারীবাগ 
জেলা- ঢাকা 
 </t>
  </si>
  <si>
    <t xml:space="preserve">মোঃ হাসান মিয়া 
পিতা- মোঃ সুমন মিয়া </t>
  </si>
  <si>
    <t xml:space="preserve">গ্রাম- রায়েরপারা 
থানা- 
জেলা- 
 </t>
  </si>
  <si>
    <t xml:space="preserve">কোতয়ালী জি আর- 217/24
</t>
  </si>
  <si>
    <t>পর্যবেক্ষণে আছে</t>
  </si>
  <si>
    <t xml:space="preserve">আব্দুর রহমান শাওন 
পিতা- মোঃ মাসুদ মিয়া </t>
  </si>
  <si>
    <t xml:space="preserve">গ্রাম- হাজীবাড়ি 
থানা- কচুয়া 
জেলা- চাঁদপুর 
 </t>
  </si>
  <si>
    <t>কচুয়া থা: মা: নং-11(1)26
জি আর- 11/26
ধারা- 379/411/506(2)</t>
  </si>
  <si>
    <t xml:space="preserve">তায়েফ পাঠান 
পিতা- মঞ্জিল পাঠান </t>
  </si>
  <si>
    <t xml:space="preserve">গ্রাম- রামপুর 
থানা- মোনোহরদী 
জেলা- নরসিংদী 
 </t>
  </si>
  <si>
    <t xml:space="preserve">মোনোহরদী থা: মা: নং-11(8)25
ধারা- 302/34 </t>
  </si>
  <si>
    <t xml:space="preserve">শিশু আদালত
নরসিংদী </t>
  </si>
  <si>
    <t xml:space="preserve">নুর ইসলাম 
পিতা- আ: বারেক </t>
  </si>
  <si>
    <t xml:space="preserve">গ্রাম- ফারেদাবাদ 
থানা- দক্ষিন খান 
জেলা- ঢাকা 
 </t>
  </si>
  <si>
    <t xml:space="preserve">তেজগাঁও থা: মা: নং-14(9)25
খুলশী থা: মা: নং-18(9)25
ধারা- সন্ত্রাস বিরোধী আইন 2009(সং/2013) এর 6(2) এর (ক) এর (আ)(ঈ)(উ)/8/9(1)(2)/10/11/12/13 </t>
  </si>
  <si>
    <t xml:space="preserve">মোঃ ইব্রাহিম 
পিতা- মোঃ রেজাউল করিম </t>
  </si>
  <si>
    <t xml:space="preserve">গ্রাম- নাজিসংকরপুর 
থানা- কোতয়ালী 
জেলা- যশোর 
 </t>
  </si>
  <si>
    <t>আশুলিয়া থা: মা: নং-50(1)26
ধারা- নারী  ও শিশু নির্যাতন দমন আইন ২০০০ এর 9(1)</t>
  </si>
  <si>
    <t xml:space="preserve">জিয়াউর রহমান 
পিতা- মোঃ ইয়াছিন </t>
  </si>
  <si>
    <t xml:space="preserve">গ্রাম- কালুখালী আব্দুল কালাম 
থানা- উখিয়া  
জেলা- কক্সবাজার 
 </t>
  </si>
  <si>
    <t>টেকনাফ থা: মা: নং-44(1)26
জি আর- 44/26
ধারা- 194 সনের বৈদেশিক নাগরিক আইন -14</t>
  </si>
  <si>
    <t>বৈদেশিক নাগরিক আইন</t>
  </si>
  <si>
    <t xml:space="preserve">শিশু আদালদ-3
কক্সবাজার </t>
  </si>
  <si>
    <t>জামিনে মুক্তি 28-02-26</t>
  </si>
  <si>
    <t xml:space="preserve">সাইফুল 
পিতা- আলী জোহার </t>
  </si>
  <si>
    <t xml:space="preserve">গ্রাম- এফ সি এন ব্লক জি /83 ক্যাম্প -3
থানা- উখিয়া 
জেলা- কক্সবাজার 
 </t>
  </si>
  <si>
    <t>টেকনাফ থা: মা: নং-44(1)26
জি আর- 44/26
ধারা- 1946 সনের বৈদেশিক নাগরিক আইন -14</t>
  </si>
  <si>
    <t>জামিনে মুক্তি 28-02-27</t>
  </si>
  <si>
    <t xml:space="preserve">মোঃ কায়ছার 
পিতা- মোঃ ফয়েজ উদ্দিন </t>
  </si>
  <si>
    <t>জামিনে মুক্তি 28-02-28</t>
  </si>
  <si>
    <t xml:space="preserve">আব্দুর রহমান 
পিতা- আব্দুল মজিদ </t>
  </si>
  <si>
    <t xml:space="preserve">গ্রাম- ক্যাম্প-17
থানা- উখিয়া 
জেলা- কক্সবাজার 
 </t>
  </si>
  <si>
    <t>জামিনে মুক্তি 28-02-29</t>
  </si>
  <si>
    <t xml:space="preserve">হামিদুর রহমান 
পিতা- মৃত: জায়ান আলম </t>
  </si>
  <si>
    <t xml:space="preserve">গ্রাম- ক্যাম্প-11
থানা- উখিয়া 
জেলা- কক্সবাজার 
 </t>
  </si>
  <si>
    <t>জামিনে মুক্তি 28-02-30</t>
  </si>
  <si>
    <t xml:space="preserve">মোঃ ইউসিুফ 
পিতা- মোঃ হাসেম </t>
  </si>
  <si>
    <t xml:space="preserve">গ্রাম- ক্যাম্প-13
থানা- উখিয়া 
জেলা- কক্সবাজার 
 </t>
  </si>
  <si>
    <t xml:space="preserve">পরোয়ার 
পিতা- দরবেশ আলী </t>
  </si>
  <si>
    <t xml:space="preserve">গ্রাম- ক্যাম্প-1
থানা- উখিয়া 
জেলা- কক্সবাজার 
 </t>
  </si>
  <si>
    <t xml:space="preserve">মোঃ মনির হোসেন 
পিতা- রাশেদ আলী </t>
  </si>
  <si>
    <t xml:space="preserve">গ্রাম- বররাজু কাল 
থানা- কালিহাতী 
জেলা- টাংগাইল 
 </t>
  </si>
  <si>
    <t>শিশু মা: নং- 57/25
ধারা- নারী  ও শিশু নির্যাতন দমন আইন ২০০০ এর 7</t>
  </si>
  <si>
    <t xml:space="preserve">মোঃ আশিক 
পিতা- মোঃ রুবেল </t>
  </si>
  <si>
    <t xml:space="preserve">গ্রাম- উত্তর বাড্ডা 
থানা- বাড্ডা 
জেলা- ঢাকা 
 </t>
  </si>
  <si>
    <t>বাড্ডা থা: মা: নং-21(1)26
ধারা- ২০১৮ সনের মাদকদ্রব্য নিয়ন্ত্রন আইন এর ৩৬(১) সারনির 10(ক)</t>
  </si>
  <si>
    <t xml:space="preserve">শিশু আদালদ-7
ঢাকা </t>
  </si>
  <si>
    <t xml:space="preserve">মোঃ ইয়াছিন 
পিতা- সাত্তার মিয়া </t>
  </si>
  <si>
    <t xml:space="preserve">গ্রাম- আলমীপারা 
থানা- কিশোরগঞ্জ 
জেলা- কিশোরগঞ্জ 
 </t>
  </si>
  <si>
    <t xml:space="preserve">ভৈরব থা: এন এফ নং-4/26
ধারা- পুলিশ আইনের 34 ধারা </t>
  </si>
  <si>
    <t xml:space="preserve">ইয়াছিন 
পিতা- রোকন </t>
  </si>
  <si>
    <t xml:space="preserve">গ্রাম- 
থানা- আজমেরীগঞ্জ 
জেলা- হবিগঞ্জ 
 </t>
  </si>
  <si>
    <t xml:space="preserve">সদর থা: মা: নং-26(1)26
ধারা-379 পি সি  </t>
  </si>
  <si>
    <t xml:space="preserve">মোঃ আরাফাত ইসলাম আকাশ 
পিতা- আমিনুল ইসলাম </t>
  </si>
  <si>
    <t xml:space="preserve">গ্রাম- বাসা নং- 189
থানা- হাজারীবাগ 
জেলা- ঢাকা 
 </t>
  </si>
  <si>
    <t xml:space="preserve"> হাজারীবাগ থা: মা: নং-18(1)26
ধারা- সন্ত্রাস বিরোধী আইন 2009(সং/2013) এর 6/10/11/12/13 </t>
  </si>
  <si>
    <t xml:space="preserve">স্বধীন মিয়া 
পিতা- বিল্লাল মিয়া </t>
  </si>
  <si>
    <t xml:space="preserve">গ্রাম- কৈতরীপাড়া
থানা- কটিয়াদী 
জেলা- কিশোরগঞ্জ
 </t>
  </si>
  <si>
    <t>কটিয়াদী থা: মা: নং-14(1)26
জি আর- 14/26
ধারা- নারী  ও শিশু নির্যাতন দমন আইন ২০০০ এর 9(1)/30</t>
  </si>
  <si>
    <t xml:space="preserve">শিশু আদালত -2 
কিশোরগঞ্জ </t>
  </si>
  <si>
    <t xml:space="preserve">আব্দুর রহমান 
পিতা- মৃত: আবু আলম </t>
  </si>
  <si>
    <t xml:space="preserve">গ্রাম- ব্লক- সি ক্যাম্প -22
থানা- টেকনাফ 
জেলা- কক্সবাজার 
 </t>
  </si>
  <si>
    <t xml:space="preserve"> টেকনাফ থা: মা: নং-44(1)26
জি আর- 44/26
ধারা- 1946 সনের বৈদেশিক নাগরিক আইন -14</t>
  </si>
  <si>
    <t xml:space="preserve">মোঃ হোসেন 
পিতা- সাহাব মিয়া </t>
  </si>
  <si>
    <t xml:space="preserve">গ্রাম- ব্লক- সি ক্যাম্প -04
থানা- উখিয়া 
জেলা- কক্সবাজর 
 </t>
  </si>
  <si>
    <t>ইউসুফ 
পিতা- ইমাম হোসেন</t>
  </si>
  <si>
    <t xml:space="preserve">গ্রাম-  ক্যাম্প -04
থানা- উখিয়া 
জেলা- কক্সবাজর 
 </t>
  </si>
  <si>
    <t>মোঃ ইয়াসের 
পিতা- শামসুল আলম</t>
  </si>
  <si>
    <t xml:space="preserve">গ্রাম-  ক্যাম্প -22
থানা- টেকনাফ 
জেলা- কক্সবাজর 
 </t>
  </si>
  <si>
    <t xml:space="preserve">সেলিম 
পিতা- ছগির আহম্মেদ </t>
  </si>
  <si>
    <t xml:space="preserve">গ্রাম-  ক্যাম্প- 04
থানা- উখিয়া 
জেলা- কক্সবাজর 
 </t>
  </si>
  <si>
    <t xml:space="preserve">মোঃ হারুন 
পিতা- ফরিদ আলম </t>
  </si>
  <si>
    <t xml:space="preserve">গ্রাম-  ক্যাম্প- 13
থানা- উখিয়া 
জেলা- কক্সবাজর 
 </t>
  </si>
  <si>
    <t xml:space="preserve">মোঃ আব্দুল আল রোমান ৥ নুমান 
পিতা- মোঃ মনিরুল ইসলাম </t>
  </si>
  <si>
    <t xml:space="preserve">গ্রাম- কাউনিয়া চৌদ্দরশি  
থানা- চৌহালী 
জেলা- সিরাজগঞ্জ 
 </t>
  </si>
  <si>
    <t>চৌহালী থা: মা: নং-2(1)26
জি আর- 02/26 
ধারা- 379/411/34</t>
  </si>
  <si>
    <t xml:space="preserve">মোঃ রাব্বি
পিতা- আলাউদ্দিন </t>
  </si>
  <si>
    <t xml:space="preserve">গ্রাম- 
থানা-শাহবাগ  
জেলা- ঢাকা 
 </t>
  </si>
  <si>
    <t>শাহবাগ থা: মা: নং-23(1)26
ধারা- ২০১৮ সনের মাদকদ্রব্য নিয়ন্ত্রন আইন এর ৩৬(১) সারনির 24(ক)</t>
  </si>
  <si>
    <t xml:space="preserve">মোঃ ইমতিয়াজ হোসেন রাহুল 
পিতা- মোঃ কামাল হোসেন  </t>
  </si>
  <si>
    <t xml:space="preserve">গ্রাম- সাদুল্লাহপুর 
থানা- 
জেলা- ঢাকা 
 </t>
  </si>
  <si>
    <t>ঢাকা রেলওয়ে থা: মা: নং-5(1)26
ধারা- 302/34</t>
  </si>
  <si>
    <t xml:space="preserve">মোঃ রাতুল 
পিতা- নাসির </t>
  </si>
  <si>
    <t xml:space="preserve">গ্রাম- নানবাড়ি  নমলার হাট 
থানা- আসৈল 
জেলা- বরিশাল 
 </t>
  </si>
  <si>
    <t xml:space="preserve">সাকিবুল হাসান 
পিতা- আহম্মেদ আলী </t>
  </si>
  <si>
    <t xml:space="preserve">গ্রাম- দশঘর 
থানা- বিশ্বনাথ 
জেলা- সিলেট 
 </t>
  </si>
  <si>
    <t xml:space="preserve">কোতয়ালী জি আর- 38/26
</t>
  </si>
  <si>
    <t xml:space="preserve">প্রীতম দাশ 
পিতা- বিমল দাশ </t>
  </si>
  <si>
    <t xml:space="preserve">গ্রাম- গুনুই 
থানা- বানিয়াচং 
জেলা- হবিগঞ্জ 
 </t>
  </si>
  <si>
    <t xml:space="preserve">জি আর- 10/26 
 </t>
  </si>
  <si>
    <t xml:space="preserve">শিশু আদালত1
হবিগঞ্জ </t>
  </si>
  <si>
    <t xml:space="preserve">মোঃ বুলবুল মিয়া 
পিতা- মোঃ লালু মিয়া </t>
  </si>
  <si>
    <t xml:space="preserve">গ্রাম- 
থানা-শেরপুর  
জেলা- শেরপুর 
 </t>
  </si>
  <si>
    <t xml:space="preserve"> ধারা- 457/380/34 পি সি 
 </t>
  </si>
  <si>
    <t xml:space="preserve">ইমাম হোসেন শান্ত 
পিতা- মোঃ নয়ন হোসেন </t>
  </si>
  <si>
    <t xml:space="preserve">গ্রাম- মাধবপুর 
থানা- হোমনা 
জেলা-কুমিল্লা 
 </t>
  </si>
  <si>
    <t>মুগদা থা: মা: নং-19(1)26
ধারা- ২০১৮ সনের মাদকদ্রব্য নিয়ন্ত্রন আইন এর ৩৬(১) সারনির 10(ক)</t>
  </si>
  <si>
    <t xml:space="preserve">শিশু আদালত -5
ঢাকা </t>
  </si>
  <si>
    <t xml:space="preserve">মোঃ রায়হান 
পিতা- মোঃ রিপন </t>
  </si>
  <si>
    <t xml:space="preserve">গ্রাম- কালিকাপুর 
থানা- মেহেন্দীগঞ্জ 
জেলা- বরিশাল 
 </t>
  </si>
  <si>
    <t xml:space="preserve">মোঃ ইয়ামিন ৥ হাতেম 
পিতা- মোঃ ছোট্ট মিয়া </t>
  </si>
  <si>
    <t xml:space="preserve">গ্রাম- জগন্নাথপুর 
থানা- বাঞ্চারামপুর 
জেলা- ব্রাক্ষনবাড়িয়া 
 </t>
  </si>
  <si>
    <t xml:space="preserve">ভাটারা থা: মা: নং-11(1)26
ধারা- 379 পি সি </t>
  </si>
  <si>
    <t xml:space="preserve">মোঃ হোসেন 
পিতা- মোঃ সুজন মিয়া </t>
  </si>
  <si>
    <t xml:space="preserve">মোঃ শরীফ 
পিতা- মোঃ গোলাম মাওলা </t>
  </si>
  <si>
    <t xml:space="preserve">গ্রাম- সরেস্বর 
থানা- নরিয়া 
জেলা- শরিয়তপুর 
 </t>
  </si>
  <si>
    <t>খিলক্ষেত থা: মা: নং-21(1)26
ধারা- ২০১৮ সনের মাদকদ্রব্য নিয়ন্ত্রন আইন এর ৩৬(১) সারনির 19(খ)/10(ক)</t>
  </si>
  <si>
    <t xml:space="preserve">মোঃ জুনায়েদ ৥ মুনছুর 
পিতা- মোঃ হযরত </t>
  </si>
  <si>
    <t xml:space="preserve">গ্রাম- ভাতেরটেক 
থানা- সুনামগঞ্জ সদর  
জেলা- সুনামগঞ্জ 
 </t>
  </si>
  <si>
    <t xml:space="preserve">চকবাজার থা: মা: নং-11(9)26
ধারা- 143/341/323/
324/307/506/34 পি সি </t>
  </si>
  <si>
    <t>শিশু আদালত-5
চট্রগ্রাম</t>
  </si>
  <si>
    <t xml:space="preserve">সাগর হোসেন 
পিতা- হারুনুর রশিদ </t>
  </si>
  <si>
    <t xml:space="preserve">গ্রাম- মুগদা 
থানা- সুন্দরগঞ্জ  
জেলা- গাইবান্ধা 
 </t>
  </si>
  <si>
    <t xml:space="preserve">ডাবলমুরিং থা: মা: নং-4(1)26
ধারা- 399/402 পি সি </t>
  </si>
  <si>
    <t>শিশু আদালত-6
চট্রগ্রাম</t>
  </si>
  <si>
    <t xml:space="preserve">ইরফাত আলী ৥ রাফসান আহম্মেদ 
পিতা- মোহাম্মাদ আলী </t>
  </si>
  <si>
    <t xml:space="preserve">গ্রাম- মতিউর রহমানের বাড়ি   
থানা- পাহাড়তলি 
জেলা- চট্রগ্রাম 
 </t>
  </si>
  <si>
    <t xml:space="preserve">হালিশহর থা: মা: নং-11(5)25
জি আর- 71/25
ধারা- 143/341/324/326
/307/379/114/34 সংযুক্ত 302 পি সি  </t>
  </si>
  <si>
    <t xml:space="preserve">মোহাম্মাদ আসাদুল্লাহ ৥ আসাদ 
পিতা- মোঃ আক্তার হোসেন </t>
  </si>
  <si>
    <t xml:space="preserve">গ্রাম- মাইজভান্ডারী 
থানা- ফটিকছড়ী 
জেলা- চট্রগ্রাম 
 </t>
  </si>
  <si>
    <t>ফটিকছড়ী থা: মা: নং-2(1)26
জি আর- 2/26
ধারা- নারী  ও শিশু নির্যাতন দমন আইন ২০০০ এর 9(4)(খ)</t>
  </si>
  <si>
    <t xml:space="preserve">মোঃ মাহমুদুল হাসান  
পিতা- মোঃ বেলাল উদ্দিন </t>
  </si>
  <si>
    <t xml:space="preserve">গ্রাম- পোড়াবাড়ি 
থানা- মুক্তগাছা 
জেলা- ময়মনসিংহ 
 </t>
  </si>
  <si>
    <t>রমনা থা: মা: নং-2(1)26
ধারা- সাইবার সুরক্ষা অধ্যাদেশ 2025 এর 21/22/23/27</t>
  </si>
  <si>
    <t>সাইবার সুরক্ষা</t>
  </si>
  <si>
    <t xml:space="preserve">শিশু আদালত
ঢাকা 
</t>
  </si>
  <si>
    <t xml:space="preserve">মোঃ সাব্বির 
পিতা- মৃত: রুহুল আমিন </t>
  </si>
  <si>
    <t xml:space="preserve">গ্রাম- চরকালোয়া 
থানা- মুলাদী 
জেলা- বরিশাল 
 </t>
  </si>
  <si>
    <t xml:space="preserve">মিরপুর মডেল থা: মা: নং-5(4)25
ধারা- 302/34 পি সি </t>
  </si>
  <si>
    <t xml:space="preserve">মোঃ রাজু 
পিতা- জহিরুল </t>
  </si>
  <si>
    <t xml:space="preserve">গ্রাম- মেরাদিয়া 
থানা- খিলগাঁও 
জেলা- ঢাকা 
 </t>
  </si>
  <si>
    <t xml:space="preserve">মতিঝিল থা: মা: নং-12(10)25
জি আর - 280
ধারা- সন্ত্রাস বিরোধী আইন 2009(সং/2013) এর 8/9/10/11/12/13 </t>
  </si>
  <si>
    <t>অভিভাবকের সাথে ফোনে 02 বার কথা বলে দেয়া  হয়েছে এবং 02বার সাক্ষাৎ করেছে</t>
  </si>
  <si>
    <t xml:space="preserve">অজয় দাশ 
পিতা- প্রদীপ দাশ </t>
  </si>
  <si>
    <t xml:space="preserve">গ্রাম- আড়াপারা 
থানা- সাভার 
জেলা- ঢাকা 
 </t>
  </si>
  <si>
    <t xml:space="preserve">সাভার থা: মা: নং-19(11)25
ধারা- 457/380/34 পি সি </t>
  </si>
  <si>
    <t xml:space="preserve">মোঃ আকাশ ৥ রাজা 
পিতা- মোঃ মন্টু </t>
  </si>
  <si>
    <t xml:space="preserve">গ্রাম- নবাবচর 
থানা- কেরানীগঞ্জ মডেল 
জেলা- ঢাকা 
 </t>
  </si>
  <si>
    <t xml:space="preserve">কেরানীগঞ্জ মডেল থা: মা: নং-44(9)20
শিশু মা: নং- 31/21
ধারা- 380 পি সি </t>
  </si>
  <si>
    <t xml:space="preserve">সিনি: জুডি: ম্যাজি: 
ঢাকা </t>
  </si>
  <si>
    <t xml:space="preserve">মোঃ রিয়াজ মিয়া 
পিতা- মোঃ নুরুল ৥ নুর ইসলাম </t>
  </si>
  <si>
    <t xml:space="preserve">গ্রাম- গোবরামিয়া পারা 
থানা- লালমনিরহাট 
জেলা- লালমনিরহাট 
 </t>
  </si>
  <si>
    <t>তুরাগ থা: মা: নং-10(11)25
ধারা- নারী  ও শিশু নির্যাতন দমন আইন ২০০০ এর 9(1)/30</t>
  </si>
  <si>
    <t xml:space="preserve">মোঃ নুর নবী 
পিতা- মোঃ ইউনুস </t>
  </si>
  <si>
    <t xml:space="preserve">গ্রাম- কালিয়াপুর 
থানা- সাভার 
জেলা- ঢাকা 
 </t>
  </si>
  <si>
    <t>শিশু মামলা নং- 80/25</t>
  </si>
  <si>
    <t xml:space="preserve">শিশু্ আদালত-9
ঢাকা </t>
  </si>
  <si>
    <t>খোরশেদ আলম 
পিতা- নুরল আলম</t>
  </si>
  <si>
    <t xml:space="preserve">গ্রাম- জমিদারপাড়া 
থানা- চকরিয়া 
জেলা- কক্সবাজার 
 </t>
  </si>
  <si>
    <t xml:space="preserve">চকরিয়া থা: মা: নং- 7
জি আর- 496/25
ধারা- 302/34 পি সি </t>
  </si>
  <si>
    <t xml:space="preserve">শিশু আদালত-1
কক্সবাজার </t>
  </si>
  <si>
    <t xml:space="preserve">মাহিন উদ্দিন 
পিতা- মৃত: মোঃ জয়নাল আবেদীন </t>
  </si>
  <si>
    <t xml:space="preserve">গ্রাম- বরছর দরিয়া নগর 
থানা- কক্সবাজার সদর 
জেলা- কক্সবাজর 
 </t>
  </si>
  <si>
    <t xml:space="preserve">সদর থা: মা: নং-4(1)26
জি আর- 4/26
ধারা-143/341/323/324/
326/307/379/114/506  </t>
  </si>
  <si>
    <t xml:space="preserve">মোঃ জাহিদ হাসান 
পিতা- আজিজুর রহমান </t>
  </si>
  <si>
    <t xml:space="preserve">গ্রাম- উম্মরপুর  
থানা- চান্দিনা 
জেলা- কুমিল্লা 
 </t>
  </si>
  <si>
    <t>খুলশি থা: মা: নং-1(10)25
ধারা- নারী  ও শিশু নির্যাতন দমন আইন ২০০০ এর 7/9(3)</t>
  </si>
  <si>
    <t xml:space="preserve">মোহাম্মাদ আজম 
পিতা- মৃত: জাহাঙ্গীর </t>
  </si>
  <si>
    <t xml:space="preserve">গ্রাম- দায়রাফকির বাড়ী 
থানা- মুরাদনগর 
জেলা- কুমিল্লা 
 </t>
  </si>
  <si>
    <t>খুলশী থা: মা: নং-1(10)25
ধারা- নারী  ও শিশু নির্যাতন দমন আইন ২০০০ এর 7/9(3)</t>
  </si>
  <si>
    <t xml:space="preserve">আরাফাত ভূইয়া 
পিতা- আব্দুল হালিম ভূইয়া </t>
  </si>
  <si>
    <t xml:space="preserve">গ্রাম- কাশিমনগর 
থানা- বিজয়নগর 
জেলা- ব্রাক্ষনবাড়িয়া 
 </t>
  </si>
  <si>
    <t>বিজয়নগর থা: মা: নং-33(1)26
জি আর- 33/26
ধারা- ২০১৮ সনের মাদকদ্রব্য নিয়ন্ত্রন আইন এর ৩৬(১) সারনির 19(খ)/14(খ)</t>
  </si>
  <si>
    <t xml:space="preserve">শিশু আদালত-3
ব্রাক্ষনবাড়িয়া </t>
  </si>
  <si>
    <t xml:space="preserve">শাহরিয়ার নাজিম প্রা: জয় 
পিতা- চঞ্চল প্র: আ: কাদের </t>
  </si>
  <si>
    <t xml:space="preserve">গ্রাম- আমরা তলি হাউজ 
থানা- কোতয়ালী মডেল 
জেলা- কুমিল্লা 
 </t>
  </si>
  <si>
    <t xml:space="preserve">বুরিচং থা: মা: নং-9(1)26
ধারা- 143/447/448/323/
324/326/307/302/114/506/34 পি সি </t>
  </si>
  <si>
    <t xml:space="preserve">মোঃ সোহান 
পিতা- মোঃ সুমন মিয়া </t>
  </si>
  <si>
    <t xml:space="preserve">গ্রাম- বুরা মজুমদার 
থানা- বেতাগী 
জেলা- চট্রগ্রাম 
 </t>
  </si>
  <si>
    <t xml:space="preserve">দারুসসালাম থা: মা: নং-13(1)26
ধারা- 302/345 পিসি </t>
  </si>
  <si>
    <t xml:space="preserve">মোঃ রিয়াজ 
পিতা- মোঃ মাহবুব </t>
  </si>
  <si>
    <t xml:space="preserve">গ্রাম- আগ্রাবাদ 
থানা- বন্দর 
জেলা- চট্রগ্রাম 
 </t>
  </si>
  <si>
    <t>উত্তরা পশ্চিম থা: মা: নং-27(1)26
ধারা- নারী  ও শিশু নির্যাতন দমন আইন ২০০০ এর 7/30</t>
  </si>
  <si>
    <t xml:space="preserve">জিদান 
পিতা- জাহাঙ্গীর </t>
  </si>
  <si>
    <t xml:space="preserve">গ্রাম- চরবংশি 
থানা- রায়পুর 
জেলা- লাক্ষীপুর 
 </t>
  </si>
  <si>
    <t xml:space="preserve">রায়পুর থা: মা: নং-13(1)26
জি আর- 13/26
ধারা- 395/297/412 পি সি  </t>
  </si>
  <si>
    <t xml:space="preserve">শিশু আদালত
লক্ষিপুর </t>
  </si>
  <si>
    <t xml:space="preserve">মোঃ আব্দুল 
পিতা- মোঃ শাহাবুদ্দিন </t>
  </si>
  <si>
    <t xml:space="preserve">গ্রাম- জগৎপুর 
থানা- দাদন ভূউয়া 
জেলা- ফেনী 
 </t>
  </si>
  <si>
    <t xml:space="preserve">চকবাজার থা: মা: নং-11(9)25
ধারা- 143/341/323/324
/307/506 পি সি </t>
  </si>
  <si>
    <t xml:space="preserve">মোঃ আরিফ 
পিতা- মোঃ নুরুল আবছার </t>
  </si>
  <si>
    <t xml:space="preserve">গ্রাম- বাজিকারা 
থানা- ওহনাপারা 
জেলা- চট্রগ্রাম 
 </t>
  </si>
  <si>
    <t xml:space="preserve">আনোয়ারা থা: মা: নং-10(5)24
জি আর- 126/24
ধারা- 323/324/326
/307/506 পি সি </t>
  </si>
  <si>
    <t xml:space="preserve">শিশু আদালত -1
চট্রগ্রাম </t>
  </si>
  <si>
    <t xml:space="preserve">মোঃ মেহেদুল ইসলাম রাতুল 
পিতা- মোঃ মমিনুল শেখ মোঃ ইমন খান 
পিতা- মোঃ বেলাল খান   </t>
  </si>
  <si>
    <t xml:space="preserve">গ্রাম- কালুদাশকাটি 
থানা- রাজাপুর 
জেলা- ঝালকাটি 
 </t>
  </si>
  <si>
    <t xml:space="preserve">ই পি জেট থা: মা: নং-1(9)25
ধারা- 302/34 পি সি 
(2) ই পি জেট থা: মা: নং-1(9)25
ধারা- 302/34 পি সি </t>
  </si>
  <si>
    <t xml:space="preserve">মোঃ আব্দুল আল মামুন 
পিতা- সাইফুল ইসলাম দিদার </t>
  </si>
  <si>
    <t xml:space="preserve">গ্রাম- বইল্যাপারা 
থানা- আনোয়ারা 
জেলা- চট্রগ্রাম 
</t>
  </si>
  <si>
    <t xml:space="preserve">হাটহাজারী থা: মা: নং-16(11)25
জি আর- 274/25
ধারা- 392 পি সি </t>
  </si>
  <si>
    <t xml:space="preserve">রিফাত 
পিতা- ইসমাইল </t>
  </si>
  <si>
    <t xml:space="preserve">গ্রাম- পরনেরশ্বর হাটি 
থানা- সোনারগাঁও 
জেলা- নারায়নগঞ্জ 
 </t>
  </si>
  <si>
    <t xml:space="preserve">সোনারগাঁও জিডি নং- 1251
ধারা- 151 </t>
  </si>
  <si>
    <t xml:space="preserve">মোঃ ছাফিন 
পিতা- শুক্কুর </t>
  </si>
  <si>
    <t xml:space="preserve">গ্রাম- উত্তর কতুবখালী 
থানা- যাত্রাবাড়ি 
জেলা- ঢাকা 
 </t>
  </si>
  <si>
    <t xml:space="preserve">কদমতলী থা: মা: নং-9(6)25
শিশু  মা: নং- 02/26
ধারা- 306 পি সি  </t>
  </si>
  <si>
    <t xml:space="preserve">শিশু আদালত-3
ঢাকা </t>
  </si>
  <si>
    <t xml:space="preserve">জয় চন্দ্র সরকার 
পিতা- নয়ন চন্দ্র সরকার </t>
  </si>
  <si>
    <t xml:space="preserve">গ্রাম- বরই কান্দিয়াপারা 
থানা- ফুলপুর 
জেলা- ময়মনসিংহ 
 </t>
  </si>
  <si>
    <t xml:space="preserve"> যাত্রাবাড়ি থা: মা: নং-61(12)24
ধারা- 394/302/34</t>
  </si>
  <si>
    <t xml:space="preserve">মোঃ মোরছালিন 
পিতা- মোঃ মোস্তফা </t>
  </si>
  <si>
    <t xml:space="preserve">গ্রাম- গন্ডামারা 
থানা- লাকসাম 
জেলা- কুমিল্লা 
 </t>
  </si>
  <si>
    <t xml:space="preserve">লাকসাম থা: মা: নং-12(07)23
জি আর- 87/23
ধারা- 302/201/34 পি সি </t>
  </si>
  <si>
    <t>জামিনে মুক্তি 21-02-26</t>
  </si>
  <si>
    <t xml:space="preserve">ফরহাদ ৥ বাহাদুর 
পিতা- দুলাল মিয়া </t>
  </si>
  <si>
    <t xml:space="preserve">গ্রাম- শাহাপুর 
থানা- জামালপুর 
জেলা- জামালপুর 
 </t>
  </si>
  <si>
    <t xml:space="preserve">জামালপুর সদর থা: মা: নং-51(1)26
জি আর- 21(2)26
ধারা- 143/341/323
/325/307/379 </t>
  </si>
  <si>
    <t>সুমন মিয়া ৥ রাকিব 
পিতা- বাবুল মিয়া</t>
  </si>
  <si>
    <t xml:space="preserve">গ্রাম- কালিদাশ  
থানা- সখিপুর 
জেলা- টাঙ্গাইল 
 </t>
  </si>
  <si>
    <t>কালিহাতি থা: মা: নং-2(12)25
জি আর- 254/25
ধারা- নারী  ও শিশু নির্যাতন দমন আইন ২০০০ এর  7/30</t>
  </si>
  <si>
    <t>শিশু আদালত
টাঙ্গাইল</t>
  </si>
  <si>
    <t xml:space="preserve">নিতু তং চং গ্যা 
পিতা- বাদাইয়া </t>
  </si>
  <si>
    <t xml:space="preserve">গ্রাম- বোদাই 
থানা- বোদাই 
জেলা- মংডু 
 </t>
  </si>
  <si>
    <t>জি আর- 9/26 
ধারা- The foreigneers ACT 1946 এর 13/14</t>
  </si>
  <si>
    <t xml:space="preserve">মোঃ সুপ্ত 
পিতা- গোলাম মোহাম্মাদ অনু </t>
  </si>
  <si>
    <t xml:space="preserve">গ্রাম- চামরাগুদাম 
থানা- কোতয়ালী 
জেলা- ময়মনসিংহ 
 </t>
  </si>
  <si>
    <t xml:space="preserve"> কোতয়ালী থা: মা: নং-70(1)26
জি আর- 70/26
ধারা- 379/511 পি সি </t>
  </si>
  <si>
    <t xml:space="preserve">শিমুল 
পিতা- আব্দুল মিয়া  </t>
  </si>
  <si>
    <t xml:space="preserve">গ্রাম- ধোপাখোলা 
থানা- কোতয়ালী 
জেলা- ময়মনসিংহ 
 </t>
  </si>
  <si>
    <t xml:space="preserve">আমিন  মিয়া 
পিতা- খলিল মিয়া </t>
  </si>
  <si>
    <t xml:space="preserve">গ্রাম- উলুযাইল 
থানা- মৌলভীবাজার 
জেলা- মৌলভীবাজার 
 </t>
  </si>
  <si>
    <t>সি আর মা: নং- 666/25
ধারা- নারী  ও শিশু নির্যাতন দমন আইন ২০০০ এর  7/9(1)/30</t>
  </si>
  <si>
    <t xml:space="preserve">শিশু আদালত মৌলভীবাজার </t>
  </si>
  <si>
    <t xml:space="preserve">অজয় চন্দ্র দাস 
পিতা- মৃত: নিখিল চন্দ্র দাশ </t>
  </si>
  <si>
    <t xml:space="preserve">গ্রাম- রায়ের কান্দী 
থানা- 
জেলা- 
 </t>
  </si>
  <si>
    <t xml:space="preserve">সিদ্ধিরগঞ্জ থা: মা: নং-26(12)25
ধারা-399/402 পি সি </t>
  </si>
  <si>
    <t xml:space="preserve">নিরব রর্মন 
পিতা- রতন বর্মন </t>
  </si>
  <si>
    <t xml:space="preserve">গ্রাম- জেলে পারা হাজারী 
থানা- সিদ্ধিরগঞ্জ 
জেলা- নারায়নগঞ্জ 
 </t>
  </si>
  <si>
    <t xml:space="preserve">মো: লিমন 
পিতা- মোঃ মালেক সালাম </t>
  </si>
  <si>
    <t xml:space="preserve">গ্রাম- পাইকেন 
থানা- গংগাচরা 
জেলা- রংপুর 
 </t>
  </si>
  <si>
    <t>ফতুল্লা থা: মা: নং-72(12)26
ধারা- নারী  ও শিশু নির্যাতন দমন আইন ২০০০ এর  9(1)</t>
  </si>
  <si>
    <t xml:space="preserve">মোঃ সিয়াম মিয়া 
পিতা- মোঃ দুদু শেখ </t>
  </si>
  <si>
    <t xml:space="preserve">গ্রাম- বাঘাডোবা 
থানা- বকশিগঞ্জ 
জেলা- জামালপুর 
 </t>
  </si>
  <si>
    <t>বকশিগঞ্জ থা: মা: নং-11(11)25
জি আর- 263(2)25
ধারা- 143/447/302/323
/326/307/354/379/506(2)</t>
  </si>
  <si>
    <t xml:space="preserve">শিশু আদালত 
জামালপুর </t>
  </si>
  <si>
    <t xml:space="preserve">জাকির হোসেন 
পিতা- আহাদ মিয়া </t>
  </si>
  <si>
    <t xml:space="preserve">গ্রাম- দিগাদাইর  
থানা- তারাইল 
জেলা- কিশোরগঞ্জ 
 </t>
  </si>
  <si>
    <t xml:space="preserve"> তারাইল থা: মা: নং-4(4)24
জি আর- 35/24
ধারা- নারী  ও শিশু নির্যাতন দমন আইন ২০০০ এর  9(1)</t>
  </si>
  <si>
    <t xml:space="preserve">শিশু আদালত -1
কিশোরগঞ্জ </t>
  </si>
  <si>
    <t xml:space="preserve">মোঃ মনির হোসেন 
পিতা- মাহফুজুর রহমান </t>
  </si>
  <si>
    <t xml:space="preserve">গ্রাম- ইটনা 
থানা- আখাউরা 
জেলা- ব্রাক্ষণবাড়িয়া 
 </t>
  </si>
  <si>
    <t>ই পি জেট থা: মা: নং-22(5)22
শিশু মা: নং- 91/26
ধারা- দ্রুত বিচার আইন 4/5</t>
  </si>
  <si>
    <t xml:space="preserve">শিশু আদালত-
ব্রাক্ষনবাড়িয়া </t>
  </si>
  <si>
    <t xml:space="preserve">রিফাত 
পিতা- মোশারফ হোসাইন </t>
  </si>
  <si>
    <t xml:space="preserve">গ্রাম- পানিশ্বর 
থানা- সরাইল 
জেলা- ব্রাক্ষণবাড়িয়া 
 </t>
  </si>
  <si>
    <t xml:space="preserve">সরাইল থা: মা: নং-33(1)26
ধারা- 380/457 পি সি </t>
  </si>
  <si>
    <t xml:space="preserve">শিশু আদালত-2
ব্রাক্ষনবাড়িয়া </t>
  </si>
  <si>
    <t xml:space="preserve">রবিউল হাসান নাহিদ 
পিতা- হেলাল </t>
  </si>
  <si>
    <t xml:space="preserve">গ্রাম- সেন্দা শিলাপুর 
থানা- ব্রাক্ষণবাড়িয়া 
জেলা- ব্রাক্ষণবাড়িয়া 
 </t>
  </si>
  <si>
    <t xml:space="preserve">চকবাজার থা: মা: নং-11(9)25
ধারা- 143/341/323/
324/307/506/34 পি সি </t>
  </si>
  <si>
    <t xml:space="preserve">আবিদ হাসান 
পিতা- আব্দুস সালাম </t>
  </si>
  <si>
    <t xml:space="preserve">গ্রাম- দক্ষিন পতেঙ্গা 
থানা- পতেঙ্গা 
জেলা- চট্রগ্রাম 
 </t>
  </si>
  <si>
    <t xml:space="preserve">পতেঙ্গা থা: মা: নং-1(1)26
জি আর- 1/26
ধারা- 447/323/325/307/
506/379 পি সি </t>
  </si>
  <si>
    <t xml:space="preserve">আজিজুর রহমান সিয়াম 
পিতা- মৃত: মোঃসিফাত </t>
  </si>
  <si>
    <t xml:space="preserve">গ্রাম- পানিওয়ালা পারা 
থানা- ডাবলমুরিং 
জেলা- চট্রগাম 
 </t>
  </si>
  <si>
    <t xml:space="preserve">ডাবলমুরিং থা: মা: নং-4(9)24 
ধারা- 143/147/332/353
/307/379/427/34 পি সি তৎসহ 1974 এর 15(3)/25-ডি </t>
  </si>
  <si>
    <t xml:space="preserve">দেবরাজ সুপ্ত প্র: বাবু 
পিতা- হারাধন সুপ্ত </t>
  </si>
  <si>
    <t xml:space="preserve">গ্রাম- জমিদারের বাড়ি 
থানা- বাশঁখালী 
জেলা- চট্রগ্রাম 
 </t>
  </si>
  <si>
    <t>বাকলিয়া থা: মা: নং-24(1)26
ধারা- নারী  ও শিশু নির্যাতন দমন আইন ২০০০ এর  9(1)</t>
  </si>
  <si>
    <t xml:space="preserve">এহসান উদ্দিন 
পিতা- রেজাউল করিম </t>
  </si>
  <si>
    <t xml:space="preserve">গ্রাম- কাতালিয়া মিয়ার বাজার
থানা- ফেনী 
জেলা- ফেনী 
 </t>
  </si>
  <si>
    <t>ফেনী মডেল থা: মা: নং-19(1)26
জি আর- 19/26
ধারা- 143/341/323/324
/326/307/506(2)</t>
  </si>
  <si>
    <t xml:space="preserve">জিৎ ভৌমিক 
পিতা- লিটন ভৌমিক </t>
  </si>
  <si>
    <t xml:space="preserve">গ্রাম- দমিপউরা 
থানা- তাহিরপুর 
জেলা- সুনামগঞ্জ 
 </t>
  </si>
  <si>
    <t xml:space="preserve">শাহপরান জি আর- 18/26
</t>
  </si>
  <si>
    <t xml:space="preserve">রবিউল 
পিতা- শুকুর আলী </t>
  </si>
  <si>
    <t xml:space="preserve">গ্রাম- রোড নং- 16 
থানা- উত্তরা পশ্চিম 
জেলা- ঢাকা 
 </t>
  </si>
  <si>
    <t xml:space="preserve">দক্ষিন খান থা: মা: নং-5(1)26
ধারা- 457/379/385/
386/34 পি সি </t>
  </si>
  <si>
    <t xml:space="preserve">আদিনুর ইসলাম 
পিতা- রুবেল হোসেন </t>
  </si>
  <si>
    <t xml:space="preserve">গ্রাম- ইসার টেক 
থানা- উত্তরা পশ্চিম 
জেলা- ঢাকা 
 </t>
  </si>
  <si>
    <t xml:space="preserve">দক্ষিন খান থা: মা: নং-5(1)26
ধারা- 457/379/
385/386/34 পি সি </t>
  </si>
  <si>
    <t xml:space="preserve">মোঃ হামিম ৥ তামিম মন্ডল 
পিতা- মৃত: রবিউল মন্ডল </t>
  </si>
  <si>
    <t xml:space="preserve">গ্রাম- চক চান্দইর 
থানা- সিংগাইর 
জেলা- মানিকগঞ্জ 
 </t>
  </si>
  <si>
    <t xml:space="preserve">সিংগাইর থা: মা: নং-17(1)26
জি আর- 17/26
ধারা- 379 পি সি </t>
  </si>
  <si>
    <t xml:space="preserve">শিশু আদালত
মানিকগঞ্জ </t>
  </si>
  <si>
    <t xml:space="preserve">রাকিব হাসান হামজা 
পিতা- মোঃ আবুল হাশেম </t>
  </si>
  <si>
    <t xml:space="preserve">গ্রাম- জাহাঙ্গীরপুর 
থানা- মদন 
জেলা- নেত্রকোনা 
 </t>
  </si>
  <si>
    <t xml:space="preserve">মদন থা: মা: নং-13(12)25
জি আর- 155(2)25
ধারা- 302/201/24 পি সি </t>
  </si>
  <si>
    <t>জাহিদুল ইসলাম জিহাদ
পিতা- শরাফত আলী</t>
  </si>
  <si>
    <t xml:space="preserve">গ্রাম- ছুননাকান্দা
থানা- জামালপুর সদর 
জেলা- জামালপুর
 </t>
  </si>
  <si>
    <t xml:space="preserve">জামালপুর সদর থা: মা: নং-40(9)26
জি আর- 567(2)25
</t>
  </si>
  <si>
    <t xml:space="preserve">রোহান মিয়া৥ রিয়াদ মিয়া
পিতা-হাদিছ মিয়া </t>
  </si>
  <si>
    <t xml:space="preserve">গ্রাম- কৈতরীপাতা
থানা- কটিয়াদী
জেলা- কিশোরগঞ্জ
 </t>
  </si>
  <si>
    <t>কটিয়াদী থা: মা: নং-14(1)26
জি আর- 14/26
ধারা- নারী  ও শিশু নির্যাতন দমন আইন ২০০০ এর  9(1)/30 তৎসহ 506(2)</t>
  </si>
  <si>
    <t xml:space="preserve">মোঃ মঈন ইসলাম
পিতা- নাঈম ইসলাম </t>
  </si>
  <si>
    <t xml:space="preserve">গ্রাম- মালতিপুর
থানা- মুক্তাগাছা 
জেলা- ময়নমসিংহ
 </t>
  </si>
  <si>
    <t xml:space="preserve">খিলগাঁও থা: মা: নং-53(1)26
ধারা- 379 পি সি </t>
  </si>
  <si>
    <t>রবিউল হাসান 
পিতা- আব্দুল করিম</t>
  </si>
  <si>
    <t xml:space="preserve">গ্রাম- কাজীপাড়া উত্তরপাড়া
থানা- সদর দক্ষিণ মডেল
জেলা- কুমিল্লা 
 </t>
  </si>
  <si>
    <t xml:space="preserve">সদর দক্ষিন থা: মা: নং-50(1)26
জি আর- 50/26
 ধারা- নারী  ও শিশু নির্যাতন দমন আইন  2000 এর 10 তৎসহ 143/341/323 পি সি  
</t>
  </si>
  <si>
    <t xml:space="preserve">আলাই উদ্দিন হোসেন 
পিতা- মোঃ জহিরুল ইসলাম </t>
  </si>
  <si>
    <t xml:space="preserve">গ্রাম- কোমাল্লা
থানা- বুবিচং 
জেলা- কুমিল্লা
 </t>
  </si>
  <si>
    <t xml:space="preserve">বুবিচং থা: মা: নং-26(1)26
ধারা- 143/427/341/323/
307/379/506 পি সি </t>
  </si>
  <si>
    <t>সাজিত 
পিতা- নুর ইসলাম</t>
  </si>
  <si>
    <t xml:space="preserve">গ্রাম- শহিদ নগর
থানা- সদর 
জেলা- নারয়ানগঞ্জ
 </t>
  </si>
  <si>
    <t xml:space="preserve">নারয়ানগঞ্জ থা: মা: নং-34(12)25
ধারা- 399/402 পি সি </t>
  </si>
  <si>
    <t>তারেক রহমান
পিতা- মোজাফ্ফর আলী</t>
  </si>
  <si>
    <t xml:space="preserve">গ্রাম- উত্তর শ্রীপুর
থানা- দোয়ারাবাজার
জেলা- সুনামগঞ্জ
 </t>
  </si>
  <si>
    <t>শিশু মা: নং- 14/26
ধারা- ২০১৮ সনের মাদকদ্রব্য নিয়ন্ত্রন আইন এর ৩৬(১) সারনির 24(ক)/38/40</t>
  </si>
  <si>
    <t>আলীফ
পিতা- মোঃ হাসেম</t>
  </si>
  <si>
    <t xml:space="preserve">গ্রাম- বণমালা 
থানা- টঙ্গী পূর্ব
জেলা- গাজীপুর
 </t>
  </si>
  <si>
    <t xml:space="preserve">টঙ্গী পশ্চিম থা: মা: নং-10(1)26
ধারা- 399/402 পি সি </t>
  </si>
  <si>
    <t>মোঃ রাসেল হোসেন
পিতা- মীর হোসেন</t>
  </si>
  <si>
    <t xml:space="preserve">গ্রাম- নোয়াপাড়া
থানা- রামগঞ্জ
জেলা- লক্ষীপুর
 </t>
  </si>
  <si>
    <t xml:space="preserve">তেজগাঁও থা: মা: নং-25(1)26 
ধারা- 381/34 পি সি </t>
  </si>
  <si>
    <t>মোঃ মহসিন আলী
পিতা- আবুল কালাম</t>
  </si>
  <si>
    <t>গ্রাম- নোয়াপাড়া
থানা- রামগঞ্জ
জেলা- লক্ষীপুর</t>
  </si>
  <si>
    <t>হারুন অর রশিদ
পিতা- দতয়ব প্রঃসোনা মিয়া</t>
  </si>
  <si>
    <t xml:space="preserve">গ্রাম- টেইকা হাজিপাড়া
থানা- রামু 
জেলা- কক্সবাজার
 </t>
  </si>
  <si>
    <t>জি আর- 13/26
ধারা- ২০১৮ সনের মাদকদ্রব্য নিয়ন্ত্রন আইন এর ৩৬(১) সারনির  10(ক)</t>
  </si>
  <si>
    <t>ইমন হোসেন
পিতা- আব্দুল কাদের</t>
  </si>
  <si>
    <t xml:space="preserve">গ্রাম- ২নং মাইলের মাথা
থানা- বন্দর
জেলা- চট্রগ্রাম
 </t>
  </si>
  <si>
    <t xml:space="preserve">ই পি জেড থা: মা: নং-24(4)24
ধারা- সন্ত্রাস বিরোধী আইন 2009(সং/2013) এর 6(2)/7/8/9/10/11/12/13/14
(2) ই পি জেড থা: মা: নং-2(8)24
ধারা- 15(B)/25-D The spcial Power ACT 1974 তৎসহ 147/148/194/152/307/332/333/353/447/448/370/380/427/436/109/506(2)/34 তৎসহ  3/6 The Explosive substance AcT 1908 </t>
  </si>
  <si>
    <t>হোসাইন হাওলাদার
পিতা- নুরু উদ্দিন হাওলাদার</t>
  </si>
  <si>
    <t xml:space="preserve">গ্রাম- সিমেন্ট হোস্টেলের পাশে
থানা- বন্দর 
জেলা- চট্রগ্রাম
 </t>
  </si>
  <si>
    <t>মোঃ রনি
পিতা- মোঃ আজিজ</t>
  </si>
  <si>
    <t xml:space="preserve">গ্রাম- পুরান ডাকগর
থানা- বন্দর
জেলা- চ্রটগ্রাম
 </t>
  </si>
  <si>
    <t>মোঃ সাগর
পিতা- মোঃ বিপ্লব</t>
  </si>
  <si>
    <t xml:space="preserve">গ্রাম- কানাইগুর বাজার দর্জির দোকানদার
থানা- বোয়ালমারী 
জেলা- ফরিদপুর
 </t>
  </si>
  <si>
    <t>ডাবলমুরিং থা: মা: নং- 4(9)24
ধারা- 143/447/332/353
/307/379/427/34 তৎসহ 15(B)/25-D The spcial Power ACT 1974</t>
  </si>
  <si>
    <t xml:space="preserve">রবিন 
পিতা-রুবেল মিয়া </t>
  </si>
  <si>
    <t xml:space="preserve">গ্রাম- পঞ্জপটি পুকুরপাড়
থানা- ভৈরব 
জেলা- কিশোরগঞ্জ
 </t>
  </si>
  <si>
    <t>ভৈরব থা: মা: নং-6/26
ধারা- পুলিশ আইনের 34</t>
  </si>
  <si>
    <t>ইমন 
পিতা- নুর ইসলাম</t>
  </si>
  <si>
    <t>আব্দুল আহাদ
পিতা- লাবু মিঞ্জা</t>
  </si>
  <si>
    <t xml:space="preserve">গ্রাম- বাসুদেব
থানা- সলঙ্গা
জেলা- সিরাজগঞ্জ
 </t>
  </si>
  <si>
    <t xml:space="preserve">সিরাজগঞ্জ থা: মা: নং-29(1)26
জি আর- 29/26
ধারা- 395/397 পি সি </t>
  </si>
  <si>
    <t xml:space="preserve">শিশু আদালত -2
সিরাজগঞ্জ </t>
  </si>
  <si>
    <t>অনিক ঘোষ
পিতা- আশ্ব ঘোষ</t>
  </si>
  <si>
    <t xml:space="preserve">গ্রাম- নাজিরপুর
থানা- সিংগাইর
জেলা- মানিকগঞ্জ
 </t>
  </si>
  <si>
    <t>সিংগাইর থা: মা: নং-36(1)26
জি আর- 36/26
ধারা- ২০১৮ সনের মাদকদ্রব্য নিয়ন্ত্রন আইন এর ৩৬(১) সারনির 10(ক)</t>
  </si>
  <si>
    <t>শামীম সরদার
পিতা- বোহান সরদার</t>
  </si>
  <si>
    <t xml:space="preserve">গ্রাম- কনেশ্বর
থানা- ডামু্ড্যা 
জেলা- শরীয়তপুর
 </t>
  </si>
  <si>
    <t>ডামু্ড্যা থা: মা: নং-18(1)26
জি আর- 18/26
ধারা- ২০১৮ সনের মাদকদ্রব্য নিয়ন্ত্রন আইন এর ৩৬(১) সারনির 10(ক)</t>
  </si>
  <si>
    <t xml:space="preserve">শিশু আদালত
শরীয়তপুর </t>
  </si>
  <si>
    <t>মোঃ পরশ আলী শেখ
পিতা- মোঃ আব্দুল হামিদ শেখ</t>
  </si>
  <si>
    <t xml:space="preserve">গ্রাম- চরলক্ষীপুর
থানা- সদর 
জেলা- রাজবাড়ী
 </t>
  </si>
  <si>
    <t>রাজবাড়ী থা: মা: নং-14(8)24
জি আর- 332/24
ধারা- 143/148/341/
307/325/114/34 পি সি তৎসহ 1908 সনের বিস্ফোরক দ্রব্য আইন 3/6</t>
  </si>
  <si>
    <t>তৌফিক আহম্মেদ ফাহিম
পিতা- শাহাবুদ্দিন শেখ</t>
  </si>
  <si>
    <t>গ্রাম- চরলক্ষীপুর
থানা- সদর 
জেলা- রাজবাড়ী</t>
  </si>
  <si>
    <t>মোঃ জনি শেখ
পিতা- মোঃ শামসুল আলম</t>
  </si>
  <si>
    <t>মোঃ মুনজিল শেক
পিতা- মোঃ মালেক শেখ</t>
  </si>
  <si>
    <t>মোঃ বিজয় হোসেন 
পিতা- মোঃ হুমায়ুন আহম্মেদ</t>
  </si>
  <si>
    <t xml:space="preserve">গ্রাম- আলীনগর বর্ণ
থানা- কামরাঙ্গীর চর
জেলা- ঢাকা
 </t>
  </si>
  <si>
    <t xml:space="preserve">কামরাঙ্গীর চরথা: মা: নং-21(4)21
শিশু মা: নং- 3/23
ধারা- 143/341/323/324/
307/506 পি সি </t>
  </si>
  <si>
    <t>ফারদিন হোসেন মৃদুল৥ ওমর
পিতা- মোঃ ফারুক হোসেন</t>
  </si>
  <si>
    <t xml:space="preserve">গ্রাম- পত্তাশিহাং বাড়ি
থানা- ইন্দুরকান্দি
জেলা- পিরোজপুর
 </t>
  </si>
  <si>
    <t xml:space="preserve">ওয়ারী থা: মা: নং-15(11)25
ধারা- 1974 সনের বিশেষ ক্ষমতা আইনের 15(3)/25 ডি </t>
  </si>
  <si>
    <t xml:space="preserve">শিশু আদালত-1
ঢাকা </t>
  </si>
  <si>
    <t xml:space="preserve">জুনায়েদ হোসেন শিশির 
পিতা- শাহাব উদ্দিন </t>
  </si>
  <si>
    <t xml:space="preserve">গ্রাম-  ভানুয়াই 
থানা- সোনাইমুরি 
জেলা-নোয়াখালী 
 </t>
  </si>
  <si>
    <t>সোনাইমুরি থা: মা: নং- 5(12)25
জি আর নং- 199/25
ধারা- নারী  ও শিশু নির্যাতন দমন আইন ২০০০ (সং/25) এর 7/30</t>
  </si>
  <si>
    <t>শিশু আদালত-2
নোয়াখালী</t>
  </si>
  <si>
    <t xml:space="preserve">জোনায়েত হোসেন নাহিদ 
পিতা- মোঃ ওমর ফারুক </t>
  </si>
  <si>
    <t xml:space="preserve">গ্রাম-  উত্তর বিরিক্কি
থানা- ফেনী সদর 
জেলা- ফেনী 
 </t>
  </si>
  <si>
    <t>ফেনী সদর থা: মা: নং-20(1)26
ধারা- 143/341/323/506(2)</t>
  </si>
  <si>
    <t xml:space="preserve">নারী  ও শিশু নির্যাতন দমন ট্রাইঃ 
ফেনী </t>
  </si>
  <si>
    <t xml:space="preserve">রিফাতুল ইসলাম রিফাত 
পিতা- দ্বীন ইসলাম </t>
  </si>
  <si>
    <t xml:space="preserve">গ্রাম-  ভৈরবপুর উত্তর পারা 
থানা- ভৈরব  
জেলা-কিশোরগঞ্জ 
 </t>
  </si>
  <si>
    <t>ভৈরব  থা: মা: নং-37(1)26
ধারা-143/448/323/307/
354/427/436/506 তৎসহ 3/3A The Expoliseve  Sub Stances ACT 1908</t>
  </si>
  <si>
    <t xml:space="preserve">শিশু আদালত কিশোরগঞ্জ </t>
  </si>
  <si>
    <t xml:space="preserve">মোঃ শাকিব 
পিতা- শাহাবুদ্দিন </t>
  </si>
  <si>
    <t xml:space="preserve">গ্রাম-  সাইটালিয়া 
থানা- শ্রীপুর 
জেলা- গাজীপুর 
 </t>
  </si>
  <si>
    <t>শ্রীপুর থা: মা: নং-3(2)26
ধারা- নারী  ও শিশু নির্যাতন দমন আইন ২০০০ এর 9(3)</t>
  </si>
  <si>
    <t xml:space="preserve">নারী  ও শিশু নির্যাতন দমন ট্রাইঃ 
গাজীপুর </t>
  </si>
  <si>
    <t xml:space="preserve">জনি 
পিতা- দাদন গাজী </t>
  </si>
  <si>
    <t xml:space="preserve">গ্রাম-  কোদালপুর 
থানা- গোসাইরহাট 
জেলা- শরীয়তপুর 
 </t>
  </si>
  <si>
    <t xml:space="preserve">গোসাইরহাট থা: মা: নং-19(1)26
জি আর নং- 19/26
ধারা- 143/341/323/326/
307/379/506 পি সি </t>
  </si>
  <si>
    <t xml:space="preserve">আল আমিন 
পিতা- কালিমুদ্দিন রাজ </t>
  </si>
  <si>
    <t xml:space="preserve">গ্রাম- কোদালপুর 
থানা- গোসাইরহাট 
জেলা-শরীয়তপুর 
 </t>
  </si>
  <si>
    <t xml:space="preserve">মোঃ রামিন 
পিতা- পলাশ মিয়া  </t>
  </si>
  <si>
    <t xml:space="preserve">গ্রাম-  সৈয়দপুর 
থানা- কসবা 
জেলা- ব্রাক্ষনবাড়িয়া 
 </t>
  </si>
  <si>
    <t xml:space="preserve">কসবা থা: মা: নং-1(2)26
জি আর নং- 32/26
ধারা- 457/380/436/427 </t>
  </si>
  <si>
    <t xml:space="preserve">মোঃ শান্ত 
পিতা- মৃত: শাহ জালাল </t>
  </si>
  <si>
    <t xml:space="preserve">গ্রাম- ফুলতলী 
থানা- দেবিদ্বার 
জেলা- কুমিল্লা 
 </t>
  </si>
  <si>
    <t>কসবা থা: মা: নং-30(1)26
জি আর নং- 30/26
ধারা- ২০১৮ সনের মাদকদ্রব্য নিয়ন্ত্রন আইন এর ৩৬(১) সারনির 19(গ)/38/41</t>
  </si>
  <si>
    <t xml:space="preserve">মোঃ জাহিদ মিয়া 
পিতা- মোঃ জাহাঙ্গীর আলম ৥ ফুল মিয়া </t>
  </si>
  <si>
    <t xml:space="preserve">গ্রাম- দাতারাটিয়া 
থানা- নান্দাইল 
জেলা- ময়মনসিংহ 
 </t>
  </si>
  <si>
    <t xml:space="preserve">নান্দাইল থা: মা: নং-21(1)26
জি আর নং- 21/26
ধারা- 143/447/323/325
/302/307/506/114/34 পি সি </t>
  </si>
  <si>
    <t xml:space="preserve">আরমান মিয়া 
পিতা- আব্দুর রহিম </t>
  </si>
  <si>
    <t xml:space="preserve">গ্রাম- সাতবর্গ 
থানা- বিজয়নগর 
জেলা- ব্রাক্ষনবাড়িয়া 
 </t>
  </si>
  <si>
    <t xml:space="preserve">বিজয়নগর থা: মা: নং-38(1)26
জি আর নং- 38/26
ধারা- 323/325/326/307/
379 পি সি </t>
  </si>
  <si>
    <t xml:space="preserve">নিরব বেপারী
পিতা- আরিফ বেপারী </t>
  </si>
  <si>
    <t xml:space="preserve">গ্রাম- সবুজবাগ  
থানা- মাদারীপুর সদর 
জেলা-মাদারীপুর 
 </t>
  </si>
  <si>
    <t>মাদারীপুর সদর থা: মা: নং-57(1)26
জি আর নং- 57/26
ধারা-143/144/147/148/
149/186/332/353/307/427/34/114/109 তৎসহ বিস্ফোরোক দ্রব্য আইন 3/4/6</t>
  </si>
  <si>
    <t xml:space="preserve">শিশু আদালদ
মাদারীপুর </t>
  </si>
  <si>
    <t xml:space="preserve">মোঃ আশরাফুল কাজি 
পিতা- আবু বক্কর </t>
  </si>
  <si>
    <t xml:space="preserve">গ্রাম-  ছটফটিয়া 
থানা- টংগীবারি 
জেলা-মুন্সিগঞ্জ 
 </t>
  </si>
  <si>
    <t>বিমানবন্দর থা: মা: নং-1(2)26
ধারা- 419/420/467/468/
471/109 তৎসহ পাসপোর্ট আইন11(1)এ/11(1)(বি)/11(1)(ডি)/11(1)(ই)/11(2)</t>
  </si>
  <si>
    <t>পাসপোর্ট আইন</t>
  </si>
  <si>
    <t xml:space="preserve">শিশু আদালত-7 ঢাকা </t>
  </si>
  <si>
    <t xml:space="preserve">শাহরিয়ার ইমন মাহফুজ 
পিতা- ইসমাইল আলি </t>
  </si>
  <si>
    <t xml:space="preserve">গ্রাম- দলইর গাঁও 
থানা- কোম্পানীগঞ্জ 
জেলা-সিলেট 
 </t>
  </si>
  <si>
    <t>জালালাবাদ জি আর নং- 12/26
ধারা- 302/201/34</t>
  </si>
  <si>
    <t xml:space="preserve">মোঃ সোহাগ রানা 
পিতা- মোঃ আব্দুল মোত্তালেব </t>
  </si>
  <si>
    <t xml:space="preserve">গ্রাম- খোরাড় গাঁতী  
থানা- সিরাজগঞ্জ  
জেলা- সিরাজগঞ্জ 
 </t>
  </si>
  <si>
    <t>সিরাজগঞ্জ  থা: মা: নং-14(11)25
জি আর নং- 634/25
ধারা- নারী  ও শিশু নির্যাতন দমন আইন ২০০০ এর 9(1)/7/30</t>
  </si>
  <si>
    <t xml:space="preserve">মোঃ জিসান মোল্লা 
পিতা- মোঃ হাশেম মোল্লা </t>
  </si>
  <si>
    <t xml:space="preserve">গ্রাম- বাস্তা 
থানা- সিংগাইর 
জেলা- মানিকগঞ্জ 
 </t>
  </si>
  <si>
    <t xml:space="preserve">সিংগাইর থা: মা: নং-35(1)26
জি আর নং- 35/25
ধারা- 379 পি সি </t>
  </si>
  <si>
    <t xml:space="preserve">সিয়াম 
পিতা- লিতু </t>
  </si>
  <si>
    <t xml:space="preserve">গ্রাম- পশ্চিম ধর্মগাতি 
থানা- ফতুল্লা 
জেলা- নারায়নগঞ্জ 
 </t>
  </si>
  <si>
    <t xml:space="preserve">ফতুল্লা থা: মা: নং-16(10)24
শিশু মা: নং- 54/25
ধারা- নারী  ও শিশু নির্যাতন দমন আইন ২০০০ এর 7/30 তৎসহ 380/506 পি সি </t>
  </si>
  <si>
    <t xml:space="preserve">নাহিদ 
পিতা- মৃত: নজরুল ইসলাম </t>
  </si>
  <si>
    <t xml:space="preserve">গ্রাম- নাউচার মোল্লাবাড়ি 
থানা- সোনারগাঁও 
জেলা- নারায়নগঞ্জ 
 </t>
  </si>
  <si>
    <t xml:space="preserve">সোনারগাঁও থা: মা: নং-4(2)26 
ধারা- 457/380/411 পি সি </t>
  </si>
  <si>
    <t>31/02/26</t>
  </si>
  <si>
    <t>ইয়াছিন আরাফাত
পিতা- ইব্রাহীম মিঠু</t>
  </si>
  <si>
    <t xml:space="preserve">গ্রাম- 305 যাত্রাবাড়ি 
থানা- যাত্রাবড়ি 
জেলা-ঢাকা 
 </t>
  </si>
  <si>
    <t>জি আর নং- 35/26</t>
  </si>
  <si>
    <t xml:space="preserve">নারী  ও শিশু নির্যাতন দমন ট্রাইঃ 3
ঢাকা </t>
  </si>
  <si>
    <t xml:space="preserve">এনামুল হক এনাম 
পিতা- এরশাদ </t>
  </si>
  <si>
    <t xml:space="preserve">গ্রাম- শিকলবাহা 
থানা- কর্নফুলি 
জেলা-চট্রগ্রাম 
 </t>
  </si>
  <si>
    <t>কর্নফুলি থা: মা: নং-41(1)26
ধারা- নারী  ও শিশু নির্যাতন দমন আইন ২০০০ এর 9(3)</t>
  </si>
  <si>
    <t xml:space="preserve">শিশু আদালত 
চট্রগ্রাম </t>
  </si>
  <si>
    <t xml:space="preserve">মোঃ মাসুদ রানা পাবেল 
পিতা- মৃত: রুবেল </t>
  </si>
  <si>
    <t xml:space="preserve">মোঃ নুরুল আমিন 
পিতা- শাহ আলম </t>
  </si>
  <si>
    <t xml:space="preserve">গ্রাম- কচুপিয়া 
থানা- সাতকানিয়া 
জেলা- কক্সবাজার 
 </t>
  </si>
  <si>
    <t>সাতকানিয়া থা: মা: নং-1(2)26
জি আর নং- 24/26
ধারা- নারী  ও শিশু নির্যাতন দমন আইন ২০০০ (সং/25) এর  9(1)</t>
  </si>
  <si>
    <t xml:space="preserve">মিনহাজ উদ্দিন জিদান 
পিতা- রাসেল খান </t>
  </si>
  <si>
    <t xml:space="preserve">গ্রাম- হাটখোলা 
থানা- বাকলিয়া 
জেলা- চট্রগ্রাম 
 </t>
  </si>
  <si>
    <t xml:space="preserve">বাকলিয়া থা: মা: নং-33(1)26
ধারা- 304 পি সি </t>
  </si>
  <si>
    <t xml:space="preserve">মোঃ সাজিদ মিয়া 
পিতা- মুরাদ মিয়া </t>
  </si>
  <si>
    <t xml:space="preserve">গ্রাম-  দক্ষিন গাজীপুর 
থানা- দাউদকান্দি 
জেলা- কুমিল্লা 
 </t>
  </si>
  <si>
    <t>দাউদকান্দি থা: মা: নং-29(1)26
জি আর নং- 29/26
ধারা- নারী  ও শিশু নির্যাতন দমন আইন ২০০০ এর 7/30</t>
  </si>
  <si>
    <t xml:space="preserve">আবু সাইদ 
পিতা- আক্দুল মুত্তালিব </t>
  </si>
  <si>
    <t xml:space="preserve">গ্রাম- রেইসকোস ধানমন্ডি 
থানা- কোতয়ালী 
জেলা- কুমিল্লা 
 </t>
  </si>
  <si>
    <t xml:space="preserve">কোতয়ালী থা: মা: নং-88(1)26
জি আর নং- 88/26
ধারা- 341/323/326
/307/379/506/ পি সি </t>
  </si>
  <si>
    <t xml:space="preserve">মোস্তাফিজুর রহমান 
পিতা- মোঃ সুমন </t>
  </si>
  <si>
    <t xml:space="preserve">গ্রাম- ভাবক পারা 
থানা- লাকসাম 
জেলা- কুমিল্লা 
 </t>
  </si>
  <si>
    <t>কোতয়ালী থা: মা: নং-67(10)25
জি আর নং-  829/25
ধারা- সন্ত্রাস বিরোধী আইন 2009(সং/2013) এর 6(1)/6(2)/11/12</t>
  </si>
  <si>
    <t xml:space="preserve">সফিউল জান্নাত সিয়াম 
পিতা- মোঃ সবুজ মিয়া </t>
  </si>
  <si>
    <t xml:space="preserve">গ্রাম- দক্ষিন পারা 
থানা- বুরিচং 
জেলা-কুমিল্লা 
 </t>
  </si>
  <si>
    <r>
      <t>বুরিচং</t>
    </r>
    <r>
      <rPr>
        <b/>
        <sz val="12"/>
        <color theme="1"/>
        <rFont val="NikoshBAN"/>
      </rPr>
      <t xml:space="preserve"> </t>
    </r>
    <r>
      <rPr>
        <sz val="12"/>
        <color theme="1"/>
        <rFont val="NikoshBAN"/>
      </rPr>
      <t xml:space="preserve">থা: মা: নং-9(1)26
জি আর নং- 9/26
ধারা- 143/447/448/323/
324/325/307/302/114/506/34 পি সি </t>
    </r>
  </si>
  <si>
    <t>শিশু আদালত
কুমিল্লা</t>
  </si>
  <si>
    <t xml:space="preserve">মোঃ রফিউদ্দিন আরমান
পিতা- ছালে আহমেদ </t>
  </si>
  <si>
    <t xml:space="preserve">গ্রাম- ইরুমাইন 
থানা- লাকসাম 
জেলা- কুমিল্লা 
 </t>
  </si>
  <si>
    <t xml:space="preserve">লাকসাম থা: মা: নং-5(12)25
জি আর নং- 149/25
ধারা- 379/411/34
(2) লাকসাম থা: মা: নং-2(12)25
জি আর নং- 146/25
ধারা- 379/34 পি সি </t>
  </si>
  <si>
    <t>শিশু আদালত-8
কুমিল্লা</t>
  </si>
  <si>
    <t xml:space="preserve">মোঃ কাউছার আলী অনিক 
পিতা- মোঃ আতাউর হেমান </t>
  </si>
  <si>
    <t xml:space="preserve">গ্রাম- জামির বাড়ী 
থানা- গাবতলী 
জেলা-বগুড়া 
 </t>
  </si>
  <si>
    <t>শিশু মা: নং- 5/26
ধারা- নারী  ও শিশু নির্যাতন দমন আইন ২০০০ এর 7/9(1)</t>
  </si>
  <si>
    <t xml:space="preserve">শিশু  আদালত-2
সিরাজগঞ্জ  </t>
  </si>
  <si>
    <t xml:space="preserve">সোহান মৃধা 
পিতা- জামাল মৃধা </t>
  </si>
  <si>
    <t xml:space="preserve">গ্রাম- কালিগঞ্জ  
থানা- মেহেন্দীগঞ্জ 
জেলা- বরিশাল 
 </t>
  </si>
  <si>
    <t xml:space="preserve">মুন্সিগঞ্জ থা: মা: নং-8(2)26
জি আর নং- 56/26
ধারা- 380 পি সি </t>
  </si>
  <si>
    <t xml:space="preserve">শিশু আদালত
মুন্সিগঞ্জ </t>
  </si>
  <si>
    <t xml:space="preserve">তামিম হোসেন পাপ্পু 
পিতা- সবুজ মিয়া </t>
  </si>
  <si>
    <t xml:space="preserve">গ্রাম- সবারচর  
থানা- বাজিতপুর 
জেলা- কিশোরাগঞ্জ 
 </t>
  </si>
  <si>
    <t xml:space="preserve">ভৈরব থা: মা: নং-5(1)26
জি আর নং- 5/26
ধারা- 302/34 পি সি </t>
  </si>
  <si>
    <t xml:space="preserve">মোঃ রায়হান কবির 
পিতা- মোঃ আব্দুর রহমান </t>
  </si>
  <si>
    <t xml:space="preserve">গ্রাম- বারইপারা 
থানা- ধনবাড়ি 
জেলা- টাঙ্গাইল 
 </t>
  </si>
  <si>
    <t xml:space="preserve">ধনবাড়ি থা: মা: নং-1(2)26
জি আর নং- 10/26
ধারা- 302/201/34 পি সি </t>
  </si>
  <si>
    <t xml:space="preserve">শিশু আদালত
টাঙ্গাইল </t>
  </si>
  <si>
    <t xml:space="preserve">মোঃ মৃদুল 
পিতা- মজনু মিয়া </t>
  </si>
  <si>
    <t xml:space="preserve">মোঃ সজিব উদ্দিন 
পিতা- মৃত: ছোবাহান মাস্টার </t>
  </si>
  <si>
    <t xml:space="preserve">জাহাঙ্গীর হোসেন 
পিতা- লাল মিয়া </t>
  </si>
  <si>
    <t xml:space="preserve">গ্রাম- ছৌধুরীপারা 
থানা- দোয়ারাবাজার 
জেলা-সুনামগঞ্জ 
 </t>
  </si>
  <si>
    <t xml:space="preserve">দোয়ারাবাজার থা: মা: নং-10(6)25
জি আর নং- 140/25
ধারা- The special Power ACT 1974 - 25(b)/25-d </t>
  </si>
  <si>
    <t xml:space="preserve">শাহিনুর মিয়া 
পিতা- মতিউর রহমান </t>
  </si>
  <si>
    <t xml:space="preserve">গ্রাম- চন্দ্রপুর 
থানা- দিরাই 
জেলা- সুনামগঞ্জ 
 </t>
  </si>
  <si>
    <t>শিশু মা: নং- 3125
ধারা- ২০১৮ সনের মাদকদ্রব্য নিয়ন্ত্রন আইন এর ৩৬(১) সারনির 14(খ)/41</t>
  </si>
  <si>
    <t xml:space="preserve">আজিজুল হক 
পিতা- আলী হোসেন </t>
  </si>
  <si>
    <t xml:space="preserve">গ্রাম- বালুখালী  
থানা- উখিয়া 
জেলা- কক্সবাজার 
 </t>
  </si>
  <si>
    <t>রামু থা: মা: নং-56(12)25
জি আর নং- 841/25
ধারা- ২০১৮ সনের মাদকদ্রব্য নিয়ন্ত্রন আইন এর ৩৬(১) সারনির 10(ক)</t>
  </si>
  <si>
    <t xml:space="preserve">রামীম হোসাইন প্র: রোহেল 
পিতা- জাকির আলম </t>
  </si>
  <si>
    <t xml:space="preserve">গ্রাম-  দক্ষিন কনুয়াপারা 
থানা- চকরিয়া 
জেলা- কক্সবাজার 
 </t>
  </si>
  <si>
    <t xml:space="preserve">চকরিয়া থা: মা: নং-13(6)25
জি আর নং-  278/25
ধারা- 143/447/448/
324/325/307/302/34 পি সি </t>
  </si>
  <si>
    <t>মেহেদী হাসান 
পিতা- মোঃ আকবর আলী</t>
  </si>
  <si>
    <t xml:space="preserve">গ্রাম- জোতবিষ্ণুপুর 
থানা- গোপালপুর 
জেলা-টাঙ্গাইল 
 </t>
  </si>
  <si>
    <t xml:space="preserve">গোপালপুর থা: মা: নং-4(6)25
ধারা- 143/447/323 পি সি  </t>
  </si>
  <si>
    <t xml:space="preserve">শিশু আদালত 
টাঙ্গাইল </t>
  </si>
  <si>
    <t xml:space="preserve">আব্দুল আহাদ 
পিতা- মৃত: আব্দুল্লাহ </t>
  </si>
  <si>
    <t xml:space="preserve">গ্রাম- জিগাতলা  
থানা- হাজারীবাগ 
জেলা-ঢাকা 
 </t>
  </si>
  <si>
    <t xml:space="preserve">হাজারীবাগ থা: মা: নং-8(2)26
ধারা- 399/402 পি সি </t>
  </si>
  <si>
    <t xml:space="preserve">মুনতাসির মামুন লাবিব 
পিতা- আলাউদ্দিন </t>
  </si>
  <si>
    <t xml:space="preserve">রেদোয়ানুল হক রুদ্র 
পিতা- মোজাম্মেল হক </t>
  </si>
  <si>
    <t xml:space="preserve">গ্রাম- 
থানা- মোহাম্মাদপুর  
জেলা- ঢাকা 
 </t>
  </si>
  <si>
    <t xml:space="preserve">মোছাব্বির আহম্মেদ 
পিতা- রসুল আহম্মেদ </t>
  </si>
  <si>
    <t xml:space="preserve">গ্রাম- তুলা গাছতলা  
থানা- হাজারীবাগ 
জেলা-ঢাকা 
 </t>
  </si>
  <si>
    <t xml:space="preserve">ওমর ফারুক 
পিতা- মোঃ বাচ্চু </t>
  </si>
  <si>
    <t xml:space="preserve">গ্রাম- জেনেভা 
থানা- মোহাম্মাদপুর  
জেলা- ঢাকা 
 </t>
  </si>
  <si>
    <t>মোহাম্মাদপুর থা: মা: নং-10(2)26
ধারা- ২০১৮ সনের মাদকদ্রব্য নিয়ন্ত্রন আইন এর ৩৬(১) সারনির 10(ক)</t>
  </si>
  <si>
    <t xml:space="preserve">নাজমুল হাসান জীবন 
পিতা- মোঃ মোতাহের </t>
  </si>
  <si>
    <t xml:space="preserve">গ্রাম- মানিকপুর 
থানা- চৌদ্দগ্রাম 
জেলা- কুমিল্লা 
 </t>
  </si>
  <si>
    <t xml:space="preserve">সদরঘাট থা: মা: নং-3(2)26
ধারা- 394 পি সি </t>
  </si>
  <si>
    <t xml:space="preserve">শিশু আদালত-7
চট্রগ্রাম </t>
  </si>
  <si>
    <t xml:space="preserve">মোঃ সাজ্জাদ 
পিতা- আব্দুল মালেক </t>
  </si>
  <si>
    <t xml:space="preserve">গ্রাম- নুসরাতপুর 
থানা- শাহেস্তাগঞ্জ 
জেলা- হবিগঞ্জ
 </t>
  </si>
  <si>
    <t>আকবরশাহ থা: মা: নং-3(2)26
ধারা- 143/341/323/326
/307/379/506/34/</t>
  </si>
  <si>
    <t xml:space="preserve">মোহাম্মাদ মারুফ 
পিতা- মোঃ ফরিদ আলম </t>
  </si>
  <si>
    <t xml:space="preserve">গ্রাম- মিনাবাজার  
থানা- টেকনাফ 
জেলা- কক্সবাজার 
 </t>
  </si>
  <si>
    <t>কর্নফুলি থা: মা: নং-5(2)25
ধারা- ২০১৮ সনের মাদকদ্রব্য নিয়ন্ত্রন আইন এর ৩৬(১) সারনির 10(ক)</t>
  </si>
  <si>
    <t xml:space="preserve">রোমান হোসেন 
পিতা- মৃত: শাহ আলম </t>
  </si>
  <si>
    <t xml:space="preserve">গ্রাম- আলীগঞ্জ 
থানা- হাজীগঞ্জ 
জেলা- চাঁদপুর 
 </t>
  </si>
  <si>
    <t xml:space="preserve">সাব্বির আহম্মেদ রাকিব 
পিতা- মোঃ শাহজাহান </t>
  </si>
  <si>
    <t xml:space="preserve">গ্রাম- কাজিপুর গলি 
থানা- ই পি জেড 
জেলা- চট্রগ্রাম 
 </t>
  </si>
  <si>
    <t xml:space="preserve">ই পি জেড থা: মা: নং-2(8)24
ধারা- The special Power ACT 1974 - 25(b)/25-d তৎসহ 147/148/152/307/332/333/353/447/448/379/380/427/436/109/506(2)34 তৎসহ 3/6 The Expoliseve  Sub Stances ACT 1908 </t>
  </si>
  <si>
    <t xml:space="preserve">মোঃ মারুফ হাওলাদার 
পিতা- মোঃ জাহাঙ্গীর </t>
  </si>
  <si>
    <t xml:space="preserve">গ্রাম-  চিংডা খালি 
থানা- মোরলগঞ্জ  
জেলা- বাগেরহাট 
 </t>
  </si>
  <si>
    <t>হাজারীবাগ থা: মা: নং-12(2)26
ধারা- ২০১৮ সনের মাদকদ্রব্য নিয়ন্ত্রন আইন এর ৩৬(১) সারনির 10(ক)</t>
  </si>
  <si>
    <t xml:space="preserve">সাকিবুল 
পিতা- দুলাল </t>
  </si>
  <si>
    <t xml:space="preserve">গ্রাম-  কৃষ্টপুর 
থানা- কোতয়ালী 
জেলা-ময়মনসিংহ 
 </t>
  </si>
  <si>
    <t xml:space="preserve">কোতয়ালী থা: মা: নং-23(3)25
জি আর নং- 203/25
ধারা- 323/307/379/506
/143/326 পি সি </t>
  </si>
  <si>
    <t xml:space="preserve">মোঃ শামীম 
পিতা- শাহাবউদ্দিন </t>
  </si>
  <si>
    <t xml:space="preserve">গ্রাম-  পালপারা 
থানা- কোতয়ালী 
জেলা-ময়মনসিংহ 
 </t>
  </si>
  <si>
    <t xml:space="preserve">মোঃ রবিউল আলম রনি 
পিতা- মোঃ আনোয়ার সরকার </t>
  </si>
  <si>
    <t xml:space="preserve">গ্রাম-  শোলবরিষা 
থানা- বেলকুচি 
জেলা- সিরাজগঞজ্ 
 </t>
  </si>
  <si>
    <t>বেলকুচি থা: মা: নং-2(1)26
জি আর নং- 02/26
ধারা- নারী  ও শিশু নির্যাতন দমন আইন ২০০০ এর 7/30</t>
  </si>
  <si>
    <t xml:space="preserve">মোঃ বিজয় 
পিতা- মোঃ সেলিম </t>
  </si>
  <si>
    <t xml:space="preserve">গ্রাম- সিরাজদিখান 
থানা- মতলবউত্তর 
জেলা- চাঁদপুর 
 </t>
  </si>
  <si>
    <t>শ্যামপুর থা: মা: নং-4(2)26
ধারা- ২০১৮ সনের মাদকদ্রব্য নিয়ন্ত্রন আইন এর ৩৬(১) সারনির 10(ক)</t>
  </si>
  <si>
    <t xml:space="preserve">জিহাদ 
পিতা- আমির হোসেন </t>
  </si>
  <si>
    <t xml:space="preserve">গ্রাম- ঝনুকাই 
থানা- দেলদুয়ার 
জেলা- টাংগাইল 
 </t>
  </si>
  <si>
    <t>দেলদুয়ার থা: মা: নং-2(2)26
জি আর নং- 16/26
ধারা- নারী  ও শিশু নির্যাতন দমন আইন ২০০০ (সং/25) এর  9(3)</t>
  </si>
  <si>
    <t xml:space="preserve">রিপন হোসেন 
পিতা- ওসমান মোল্লা </t>
  </si>
  <si>
    <t xml:space="preserve">গ্রাম- লালু বেপারী কান্দি  
থানা- সখিপুর 
জেলা- শরীয়তপুর 
 </t>
  </si>
  <si>
    <t>গোসাইরহাট থা: মা: নং-2(2)26
জি আর নং- 21/26
ধারা- ২০১৮ সনের মাদকদ্রব্য নিয়ন্ত্রন আইন এর ৩৬(১) সারনির 10(ক)</t>
  </si>
  <si>
    <t xml:space="preserve">জিহাদ 
পিতা- মোঃ জাহাঙ্গীর আলী </t>
  </si>
  <si>
    <t xml:space="preserve">গ্রাম- মসজিদগলি  
থানা- পদ্মাসেতু 
জেলা- মুন্সিগঞ্জ 
 </t>
  </si>
  <si>
    <t>লৌহজং থা: মা: নং-2(2)26
জি আর নং- 15/26
ধারা- ২০১৮ সনের মাদকদ্রব্য নিয়ন্ত্রন আইন এর ৩৬(১) সারনির 10(ক)</t>
  </si>
  <si>
    <t xml:space="preserve">মোঃ শুভ 
পিতা- মোঃ দুলাল </t>
  </si>
  <si>
    <t xml:space="preserve">গ্রাম- নোয়ান্দা 
থানা- নড়িয়া 
জেলা- শরীয়তপুর 
 </t>
  </si>
  <si>
    <t>বাড্ডা থা: মা: নং-3(2)26
ধারা- ২০১৮ সনের মাদকদ্রব্য নিয়ন্ত্রন আইন এর ৩৬(১) সারনির 10(ক)</t>
  </si>
  <si>
    <t xml:space="preserve">ইয়াসিন 
পিতা- মোঃ হেলাল </t>
  </si>
  <si>
    <t xml:space="preserve">গ্রাম-  রামচন্দ্রপুর 
থানা- ময়মনসিংহ 
জেলা- ময়মনসিংহ 
 </t>
  </si>
  <si>
    <t xml:space="preserve">ফতুল্লা থা: মা: নং-18(2)26
ধারা- 143/147/448/323
/324/326/307/506 পি সি </t>
  </si>
  <si>
    <t xml:space="preserve">শিশু আদালত
নারায়গঞ্জ </t>
  </si>
  <si>
    <t xml:space="preserve">মোঃ মাসুদ রানা 
পিতা- হাফিজুল মিয়া </t>
  </si>
  <si>
    <t xml:space="preserve">গ্রাম- পরপরসা 
থানা- পীরগঞ্জ 
জেলা- রংপুর 
 </t>
  </si>
  <si>
    <t xml:space="preserve">মোঃ হৃদয় হোসেন 
পিতা- কবির হোসেন </t>
  </si>
  <si>
    <t xml:space="preserve">গ্রাম- সরদার বাড়ি 
থানা- ফতুল্লা 
জেলা- নারায়নগঞ্জ 
 </t>
  </si>
  <si>
    <t xml:space="preserve">আব্দুল্লাহ আল মামুন 
পিতা- মোঃ সাইফুল ইসলাম </t>
  </si>
  <si>
    <t xml:space="preserve">গ্রাম- মহব্বতপুর 
থানা- সুধারাম 
জেলা- নোয়াখালী 
 </t>
  </si>
  <si>
    <t>চৌদ্দগ্রাম থা: মা: নং-34(8)25
জি আর নং- 343/25
ধারা- নারী  ও শিশু নির্যাতন দমন আইন ২০০০ এর 9(1)</t>
  </si>
  <si>
    <t xml:space="preserve">মোঃ শাহরিয়ার মানিক 
পিতা- মোঃ মামুন </t>
  </si>
  <si>
    <t xml:space="preserve">গ্রাম- কাজিপারা   
থানা- সদর দক্ষিন মডেল 
জেলা-কুমিল্লা 
 </t>
  </si>
  <si>
    <t xml:space="preserve">সদর দক্ষিন মডেল থা: মা: নং-44(1)26
জি আর নং- 44/26
ধারা- 394  পি সি </t>
  </si>
  <si>
    <t xml:space="preserve">স্বপন মিয়া 
পিতা- বাদল </t>
  </si>
  <si>
    <t xml:space="preserve">গ্রাম- চরকাওলা 
থানা- পাকুন্দিয়া 
জেলা-কিশোরগঞ্জ 
 </t>
  </si>
  <si>
    <t>লাকসাম থা: মা: নং-5(6)25
জি আর নং- 66/25
ধারা- নারী  ও শিশু নির্যাতন দমন আইন ২০০০ এর 7/9(3)/30</t>
  </si>
  <si>
    <t xml:space="preserve">তরিকুল ইসলাম ৥ তরিক 
পিতা- মৃত: আমির হোসেন </t>
  </si>
  <si>
    <t xml:space="preserve">গ্রাম- দূর্গাপুর   
থানা- সদর দক্ষিন মডেল 
জেলা-কুমিল্লা 
 </t>
  </si>
  <si>
    <t xml:space="preserve">সদর দক্ষিন মডেল থা: মা: নং-16(1)26
জি আর নং- 16/26
ধারা- 143/323/302
/506/34 </t>
  </si>
  <si>
    <t xml:space="preserve">মোঃ রাজ সরকার ৥ প্রীতম 
পিতা- মোঃ মাইন উদ্দিন সরকার </t>
  </si>
  <si>
    <t xml:space="preserve">গ্রাম- ঈশ্বর দিয়া বরকালিবাড়ি
থানা- কোতয়ালী 
জেলা- ময়মনসিংহ 
 </t>
  </si>
  <si>
    <t>সদর দক্ষিন মডেল থা: মা: নং-12(6)25
ধারা- ২০১৮ সনের মাদকদ্রব্য নিয়ন্ত্রন আইন এর ৩৬(১) সারনির 10(ক)</t>
  </si>
  <si>
    <t xml:space="preserve">মোঃ আনোয়ার হোসেন 
পিতা- জিন্নাত আলী </t>
  </si>
  <si>
    <t xml:space="preserve">গ্রাম- শালবন 
থানা- সদর 
জেলা- খাগরাছরি 
 </t>
  </si>
  <si>
    <t xml:space="preserve"> খাগরাছরি থা: মা: নং-7(1)26  
ধারা- 457/380</t>
  </si>
  <si>
    <t xml:space="preserve">মোঃ মনির হোসেন 
পিতা- আব্দুল জলিল </t>
  </si>
  <si>
    <t xml:space="preserve">গ্রাম- গচ্ছাবিন 
থানা- মানিকছড়ি 
জেলা-খাগরাছড়ি 
 </t>
  </si>
  <si>
    <t>মানিকছড়ি থা: মা: নং-1(2)26
ধারা- নারী  ও শিশু নির্যাতন দমন আইন ২০০০ এর 7/30</t>
  </si>
  <si>
    <t xml:space="preserve">মোঃ শাহজালাল হোসেন দ্বীপ  
পিতা- শাহ আলম </t>
  </si>
  <si>
    <t xml:space="preserve">গ্রাম- রাঙ্গামাটি   
থানা- ফুলবাড়িয়া 
জেলা-দিনাজপুর 
 </t>
  </si>
  <si>
    <t>দক্ষিন খান থা: মা: নং-7(2)26
ধারা- নারী  ও শিশু নির্যাতন দমন আইন ২০০০ এর 7</t>
  </si>
  <si>
    <t xml:space="preserve">ফাহিম ৥ বোচা 
পিতা- রুহুল আমিন </t>
  </si>
  <si>
    <t xml:space="preserve">গ্রাম- 
থানা- ভাঙ্গা  
জেলা- ফরিদপুর 
 </t>
  </si>
  <si>
    <t xml:space="preserve">ধানমন্ডি থা: মা: নং-4(2)26
ধারা- 457/380 পি সি </t>
  </si>
  <si>
    <t xml:space="preserve">মোঃ সাকিব আহম্মেদ 
পিতা- মোঃ ইমান হোসেন </t>
  </si>
  <si>
    <t xml:space="preserve">গ্রাম- মঙ্গলবার  
থানা- সদর 
জেলা-সুনামগঞ্জ 
 </t>
  </si>
  <si>
    <t>কদমতলি থা: মা: নং- 23(11)26
ধারা- নারী  ও শিশু নির্যাতন দমন আইন ২০০০ এর 7/30</t>
  </si>
  <si>
    <t xml:space="preserve">মোঃ মাহিম হোসেন রাফি 
পিতা- মোঃ মানিক শেখ  </t>
  </si>
  <si>
    <t xml:space="preserve">গ্রাম- দক্ষিন মোর্শেদপারা 
থানা- লৌহজং 
জেলা- মুন্সিগঞ্জ 
 </t>
  </si>
  <si>
    <t xml:space="preserve">ওয়ারী থা: মা: নং-25(11)25
ধারা- 1974 সনের বিশেষ ক্ষমতা আইন 15-3/ 25-ডি </t>
  </si>
  <si>
    <t>জামিনে মুক্তি 13-02-26</t>
  </si>
  <si>
    <t xml:space="preserve">মোঃ জিদন 
পিতা- মোঃ জয়নাল </t>
  </si>
  <si>
    <t xml:space="preserve">গ্রাম- কাউনিয়া বটতলা 
থানা- তুরাগ 
জেলা- ঢাকা 
 </t>
  </si>
  <si>
    <t>তুরাগ থা: মা: নং-6(2)26
ধারা- ২০১৮ সনের মাদকদ্রব্য নিয়ন্ত্রন আইন এর ৩৬(১) সারনির 10(ক)/41</t>
  </si>
  <si>
    <t xml:space="preserve">মোঃ সামির 
পিতা- নাসির উদ্দিন পাটোয়ারি </t>
  </si>
  <si>
    <t xml:space="preserve">গ্রাম- আইনুছবাগ 
থানা- দক্ষিনখান  
জেলা-ঢাকা 
 </t>
  </si>
  <si>
    <t xml:space="preserve">দক্ষিনখান থা: মা: নং-11(11)25
ধারা-143/342/323/326/
307/379/506/34 পি সি </t>
  </si>
  <si>
    <t xml:space="preserve">মোঃ আরিফ 
পিতা- মৃত: আনোয়ার হোসেন </t>
  </si>
  <si>
    <t xml:space="preserve">গ্রাম- বাগলা  
থানা- গোপালগঞ্জ 
জেলা- সিলেট 
 </t>
  </si>
  <si>
    <t>বনানী থা: মা: নং- 11(12)25
ধারা- ২০১৮ সনের মাদকদ্রব্য নিয়ন্ত্রন আইন এর ৩৬(১) সারনির 19(ক)</t>
  </si>
  <si>
    <t xml:space="preserve">রাসেদুল ইসলাম 
পিতা- নুর মোহাম্মাদ </t>
  </si>
  <si>
    <t xml:space="preserve">গ্রাম-  পূর্বাচল 
থানা- বাশখালী 
জেলা-চট্রগ্রাম 
 </t>
  </si>
  <si>
    <t>বাশখালী থা: মা: নং-23(6)24
জি আর নং- 207/24
 ধারা- নারী  ও শিশু নির্যাতন দমন আইন ২০০০  এর 7/30</t>
  </si>
  <si>
    <t xml:space="preserve">শিশু  আদালত-1
চট্রগ্রাম </t>
  </si>
  <si>
    <t xml:space="preserve">মোস্তাকিন হোসেন শিমুল
পিতা- মোঃ মোস্তফা </t>
  </si>
  <si>
    <t xml:space="preserve">গ্রাম-  নলচিরা 
থানা- ত্রিশাল 
জেলা-ময়মনসিংহ 
 </t>
  </si>
  <si>
    <t>ত্রিশাল থা: মা: নং- 10(9)24
জি আর নং- 224/24
 ধারা- নারী  ও শিশু নির্যাতন দমন আইন ২০০০  এর 7/30</t>
  </si>
  <si>
    <t xml:space="preserve">সুজন 
পিতা- মোঃ হারুন </t>
  </si>
  <si>
    <t xml:space="preserve">গ্রাম-  চরপারা 
থানা- দৌলতখা 
জেলা- ভোলা 
 </t>
  </si>
  <si>
    <t xml:space="preserve">সদর ঘাট থা: মা: নং- 3(2)26
জি আর নং- 16/26
ধারা- 394 পি সি </t>
  </si>
  <si>
    <t>022/03/26</t>
  </si>
  <si>
    <t xml:space="preserve">মোঃ তুহিন 
পিতা- আব্দুর রউফ </t>
  </si>
  <si>
    <t xml:space="preserve">গ্রাম- নারিকেল তলা হক
থানা- ই পি  জেড 
জেলা- চট্রগ্রাম 
 </t>
  </si>
  <si>
    <t xml:space="preserve">ই পি জেড থা: মা: নং-2(8)24
1974 সনের বিশেষ ক্ষমতা আইন 15-3/ 25-ডি তৎসহ 147/148/152/307/332/333/353/447/448/379/380/27/436/107/506/34 তৎসহ 3/6 The Expoliseve  Sub Stances ACT 1908 </t>
  </si>
  <si>
    <t xml:space="preserve">মোঃ মাহমিদুল ইকরাত ইফাত 
পিতা- মোঃ ইলিয়াছ উদ্দিন  </t>
  </si>
  <si>
    <t xml:space="preserve">গ্রাম-  
থানা- ইশ্বরগঞ্জ 
জেলা- ময়মনসিংহ 
 </t>
  </si>
  <si>
    <t>রিথা: মা: নং-6(6)24
জি আর নং- 390/24
ধারা- 302/24</t>
  </si>
  <si>
    <t xml:space="preserve">মোঃ হাবিবুর রহমান অন্তর 
পিতা- মোঃ আহাদুল আলম   </t>
  </si>
  <si>
    <t xml:space="preserve">গ্রাম- কাচিঝুলি  
থানা-  কোতয়ালী 
জেলা- ময়মনসিংহ 
 </t>
  </si>
  <si>
    <t xml:space="preserve">মোঃ খালিদ হাসান শান্ত 
পিতা- আনোয়ার হোসেন </t>
  </si>
  <si>
    <t xml:space="preserve">গ্রাম- সারদাগঞ্জ 
থানা- কাশিমপুর 
জেলা-গাজীপুর 
 </t>
  </si>
  <si>
    <t xml:space="preserve">কাশিমপুর  থা: মা: নং-5(2)26
ধারা- আইন শৃঙ্খোলা বিঘ্নকারী অপরাধ (দ্রুত বিচার) আইন 2002(সং-19) এর 4/5
</t>
  </si>
  <si>
    <t>শিশু আদালত
গাজীপুর</t>
  </si>
  <si>
    <t xml:space="preserve">মারুফ হোসেন 
পিতা- মোঃ মাসুদ রানা </t>
  </si>
  <si>
    <t xml:space="preserve">গ্রাম- হোসনাবাদ  
থানা- বেতাগী 
জেলা-বরগুনা 
 </t>
  </si>
  <si>
    <t>ফতুল্লা থা: মা: নং-26(2)26
ধারা- 19(এফ)</t>
  </si>
  <si>
    <t xml:space="preserve">মোঃ নাহিদ হোসেন 
পিতা- নুরুল ইসলাম </t>
  </si>
  <si>
    <t xml:space="preserve">গ্রাম- রশিদ মিস্ত্রিপারা 
থানা- মাটিরাঙ্গা 
জেলা-খাগরাছড়ি 
 </t>
  </si>
  <si>
    <t>চৌদ্দগ্রাম থা: মা: নং-16(1)26
জি আর নং- 16/26
ধারা- ২০১৮ সনের মাদকদ্রব্য নিয়ন্ত্রন আইন এর ৩৬(১) সারনির10(ক)/19(ক)/41</t>
  </si>
  <si>
    <t xml:space="preserve">আমলী আদালত-9
কুমিল্লা 
</t>
  </si>
  <si>
    <t xml:space="preserve">শাহাদাৎ হোসেন 
পিতা- মৃত: তাজুল ইসলাম </t>
  </si>
  <si>
    <t xml:space="preserve">গ্রাম- নবাব গ্রাম 
থানা- চৌদ্দগ্রাম 
জেলা- কুমিল্লা 
 </t>
  </si>
  <si>
    <t xml:space="preserve">সদর দক্ষিন থা: মা: নং-7(2)26
জি আর নং- 73/26
ধারা- 379/34 পি সি </t>
  </si>
  <si>
    <t xml:space="preserve">আব্দুল কাইয়ুম @ ছানা উল্লাহ 
পিতা- ফজলুল হক মানিক </t>
  </si>
  <si>
    <t xml:space="preserve">গ্রাম- চরপার্বতী 
থানা- কোম্পানীগঞ্জ 
জেলা- নোয়াখালী 
 </t>
  </si>
  <si>
    <t>কোম্পানীগঞ্জ থা: মা: নং-17(1)26
জি আর নং- 17/26
ধারা- নারী  ও শিশু নির্যাতন দমন আইন ২০০০ এর 7/30</t>
  </si>
  <si>
    <t xml:space="preserve">শিশু আদালত 
নোয়াখালী </t>
  </si>
  <si>
    <t xml:space="preserve">মোঃ রাসেল 
পিতা- মোঃ ইয়াকুব আলী </t>
  </si>
  <si>
    <t xml:space="preserve">গ্রাম-  বোয়ালিয়া 
থানা- ফরিদগঞ্জ 
জেলা- চাঁদপুর 
 </t>
  </si>
  <si>
    <t>মোহাম্মাদপুর থা: মা: নং-51(1)26
ধারা- ২০১৮ সনের মাদকদ্রব্য নিয়ন্ত্রন আইন এর ৩৬(১) সারনির 8(গ)</t>
  </si>
  <si>
    <t xml:space="preserve">আজহারুল ইসলাম সোহান 
পিতা- আক্তার হোসন আক্তার </t>
  </si>
  <si>
    <t xml:space="preserve">গ্রাম- জগতপুর পূর্বপারা  
থানা- কচুয়া 
জেলা- চাদপুর 
 </t>
  </si>
  <si>
    <t xml:space="preserve">কচুয়া থা: মা: নং-6(2)26
জি আর নং- 37/26
ধারা- 457/380 পি সি </t>
  </si>
  <si>
    <t xml:space="preserve">ইমরান 
পিতা- মজর আলী </t>
  </si>
  <si>
    <t xml:space="preserve">গ্রাম- পলাশপুর 
থানা- সিরাজদিখান 
জেলা- মুন্সিগঞ্জ 
 </t>
  </si>
  <si>
    <t xml:space="preserve">ঢাকা রেলওয়ে থা: মা: নং-3(1)26 
ধারা- 379/411 পি সি </t>
  </si>
  <si>
    <t xml:space="preserve">মোঃ কায়েস 
পিতা- মোঃ আমিন </t>
  </si>
  <si>
    <t xml:space="preserve">গ্রাম- চরগুল গুলিয়া 
থানা- সিরাজদিখান 
জেলা- মুন্সিগঞ্জ 
 </t>
  </si>
  <si>
    <t xml:space="preserve">গোলাম রাব্বি 
পিতা- মোঃ মানিক মিয়া </t>
  </si>
  <si>
    <t xml:space="preserve">সুলতান আহম্মেদ সায়েম
পিতা- মোঃ সালেহ আহেম্মেদ </t>
  </si>
  <si>
    <t xml:space="preserve">মোঃ স্বাধীন শেখ ৥ শেখ স্বাধীন 
পিতা- জাহাঙ্গীর আলম </t>
  </si>
  <si>
    <t xml:space="preserve">গ্রাম- রসুল   
থানা- তারাশ 
জেলা- সিরাজগঞ্জ 
 </t>
  </si>
  <si>
    <t>আশুলিয়া থা: মা: নং- 7(2)26
ধারা- নারী  ও শিশু নির্যাতন দমন আইন ২০০০ এর 9(1)</t>
  </si>
  <si>
    <t>শিশু আদালত 
ঢাকা</t>
  </si>
  <si>
    <t>19/53/26</t>
  </si>
  <si>
    <t xml:space="preserve">মোঃ কায়ছার 
পিতা- ইলিয়াস হোসেন </t>
  </si>
  <si>
    <t xml:space="preserve">গ্রাম- রায়পারা 
থানা- ধনবাড়ি 
জেলা- টাঙ্গাইল 
 </t>
  </si>
  <si>
    <t>ধনবাড়ি থা: মা: নং- 5(2)26
জি আর নং- 14/26
ধারা- নারী  ও শিশু নির্যাতন দমন আইন ২০০০ এর 9(1)</t>
  </si>
  <si>
    <t xml:space="preserve">মোঃ হৃদয়  
পিতা- মোঃ আলম </t>
  </si>
  <si>
    <t xml:space="preserve">গ্রাম-  দৌলতপুর 
থানা- হোমনা 
জেলা-কুমিল্লা 
 </t>
  </si>
  <si>
    <t>যাত্রবাড়ি থা: মা: নং- 64(1)26
ধারা- নারী  ও শিশু নির্যাতন দমন আইন ২০০০ এর 9(3)/30</t>
  </si>
  <si>
    <t xml:space="preserve">মোঃ জহির 
পিতা- হোসেন </t>
  </si>
  <si>
    <t xml:space="preserve">গ্রাম- ডাউচিরা  
থানা- ধামরাই 
জেলা- ঢাকা 
 </t>
  </si>
  <si>
    <t xml:space="preserve">ধামরাই থা: মা: নং-1(11)25
ধারা- 379 পি সি </t>
  </si>
  <si>
    <t>শিশু আদালত-9
ঢাকা</t>
  </si>
  <si>
    <t xml:space="preserve">ইলহাম আহম্মেদ সাইদি 
পিতা- আব্দুল ওয়াদুদ শাহ </t>
  </si>
  <si>
    <t xml:space="preserve">গ্রাম- রঘু চৌধুরীপারা  
থানা- বানিয়াচং 
জেলা-হবিগঞ্জ 
 </t>
  </si>
  <si>
    <t>বিমান বন্দর থা: মা: নং-9(2)26
ধারা- 406/420/467/468
/471/109/ পি সি তৎসহ 11(1)(বি)/11(2)</t>
  </si>
  <si>
    <t xml:space="preserve">মোঃ মাহাবুব ইসলাম সিয়াম 
পিতা- মোঃ মোবারাক হোসেন </t>
  </si>
  <si>
    <t xml:space="preserve">গ্রাম- বাগানবাড়ি 
থানা- দক্ষিন কেরানীগঞ্জ 
জেলা- ঢাকা
 </t>
  </si>
  <si>
    <t>দক্ষিন কেরানীগঞ্জ থা: মা: নং-4(2)26
ধারা- নারী  ও শিশু নির্যাতন দমন আইন ২০০০ এর 7/9(1)</t>
  </si>
  <si>
    <t>শিশু আদালত-4
ঢাকা</t>
  </si>
  <si>
    <t xml:space="preserve">লিমন কাজী ৥ সালমান 
পিতা- মৃত: ছানোয়ার গাজী </t>
  </si>
  <si>
    <t xml:space="preserve">গ্রাম- ডাঙ্গা  
থানা- ডাঙ্গা 
জেলা- ফরিদপুর 
 </t>
  </si>
  <si>
    <t>যাত্রবাড়ি থা: মা: নং-64(1)26
ধারা- নারী  ও শিশু নির্যাতন দমন আইন ২০০০ এর 9(3)/30</t>
  </si>
  <si>
    <t>শিশু আদালত-3
ঢাকা</t>
  </si>
  <si>
    <t xml:space="preserve">ফাহিম 
পিতা- কামরুল মিয়া </t>
  </si>
  <si>
    <t xml:space="preserve">গ্রাম- হোল্লাকান্দি 
থানা- নবীনগর 
জেলা- ব্রাক্ষনবাড়িয়া 
 </t>
  </si>
  <si>
    <t xml:space="preserve">নবীনগর থা: মা: নং-7(2)26
জি আর নং- 25/26
ধারা- 325/326/307
/302/34 </t>
  </si>
  <si>
    <t xml:space="preserve">শিশু আদালত
ব্রাক্ষনবাড়িয়া </t>
  </si>
  <si>
    <t xml:space="preserve">সাজিদুল ইসলাম লিখন 
পিতা- সোহাগ আহম্মেদ </t>
  </si>
  <si>
    <t xml:space="preserve">গ্রাম- বন্দ মদল   
থানা- কোতয়ালী 
জেলা- কুমিল্লা 
 </t>
  </si>
  <si>
    <t>কোতয়ালী থা: মা: নং-20(2)26
জি আর নং- 113/26
ধারা- 143/323/326/307/
302/114/34 পি সি</t>
  </si>
  <si>
    <t xml:space="preserve">শিমুল ইসলাম 
পিতা- নুরুল ইসলাম </t>
  </si>
  <si>
    <t xml:space="preserve">গ্রাম- পন ঘাগরা 
থানা- কোতয়ালী 
জেলা- ময়মনসিংহ 
 </t>
  </si>
  <si>
    <t>ফরহাদ 
পিতা- শরৎ</t>
  </si>
  <si>
    <t xml:space="preserve">গ্রাম- কেন্দুয়া বাদ্যকর পারা  
থানা- রুপগঞ্জ 
জেলা- নারায়নগঞ্জ 
 </t>
  </si>
  <si>
    <t>রুপগঞ্জ থা: মা: নং-28(2)26
ধারা- ২০১৮ সনের মাদকদ্রব্য নিয়ন্ত্রন আইন এর ৩৬(১) সারনির 10(ক)</t>
  </si>
  <si>
    <t>রবি হাসান প্র: রবি 
পিতা- মৃত: মজিবুর রহমান</t>
  </si>
  <si>
    <t xml:space="preserve">গ্রাম- দোয়াইর 
থানা- দোহার 
জেলা- ঢাকা 
 </t>
  </si>
  <si>
    <t>শিশু মা: নং- 13/26</t>
  </si>
  <si>
    <t xml:space="preserve">শরিফুদ্দিন আহম্মেদ দায়ান 
পিতা- মোঃ জামিল আহম্মেদ </t>
  </si>
  <si>
    <t xml:space="preserve">গ্রাম- চরাইল কালিন্দি 
থানা- কেরানীগঞ্জ 
জেলা- ঢাকা 
 </t>
  </si>
  <si>
    <t>হাজারীবাগ থা: মা: নং-17(2)26
ধারা- 2012 পর্নোগ্রাফি নিয়ন্ত্রন আইন 8(1)/8(2)/8(3)/8(7)</t>
  </si>
  <si>
    <t>তথ্য ও প্রযুক্তি</t>
  </si>
  <si>
    <t xml:space="preserve">আওলাদ হোসেন ৥ হিসাম ৥ লাবিব 
পিতা- মোঃ বখতিয়ার হোসেন লাবলু </t>
  </si>
  <si>
    <t xml:space="preserve">গ্রাম- চৈতা বাজার 
থানা- দোহার 
জেলা- ঢাকা 
 </t>
  </si>
  <si>
    <t xml:space="preserve">নাইম ৥ মাহিম 
পিতা- মান্নান </t>
  </si>
  <si>
    <t xml:space="preserve">গ্রাম- কাজীরাবাদ  
থানা- লালমোহোন 
জেলা- ভোলা 
 </t>
  </si>
  <si>
    <t xml:space="preserve">হাজারীবাগ থা: মা: নং- 44(2)26
ধারা- 341/302/34 পি সি </t>
  </si>
  <si>
    <t xml:space="preserve">মোঃ মুন্না মিয়া 
পিতা- জাহির আলী </t>
  </si>
  <si>
    <t xml:space="preserve">গ্রাম- দোহানিয়া  
থানা- দোয়ারাবাজর 
জেলা- সুনামগঞ্জ 
 </t>
  </si>
  <si>
    <t>জি আর নং- 282/25
দ্রুত বিচার- 03/25
ধারা- আইন শৃঙ্খোলা বিঘ্নকারী অপরাধ (দ্রুত বিচার) আইন 2002(সং-19) এর 4/5</t>
  </si>
  <si>
    <t xml:space="preserve">মোঃ নাজমুল 
পিতা- মোঃ রাসেল </t>
  </si>
  <si>
    <t xml:space="preserve">গ্রাম- চরচান্দহর 
থানা- সিংগাইর 
জেলা- মানিকগঞ্জ 
 </t>
  </si>
  <si>
    <t>সিংগাইর থা: মা: নং-34(7)25
জি আর নং- 255/25
ধারা- নারী  ও শিশু নির্যাতন দমন আইন ২০০০ এর 7/9(1)</t>
  </si>
  <si>
    <t xml:space="preserve">মোঃ সাইদুল হাসান জিহাদ 
পিতা- বাবর আলী ৥ বাবু পালন </t>
  </si>
  <si>
    <t xml:space="preserve">গ্রাম- নোয়াগাঁও  
থানা- শ্রীপুর 
জেলা- গাজীপুর
 </t>
  </si>
  <si>
    <t>শ্রীপুর থা: মা: নং-31(2)26
জি আর নং- 94/26
ধারা- নারী  ও শিশু নির্যাতন দমন আইন ২০০০ এর 7/30</t>
  </si>
  <si>
    <t xml:space="preserve">মোঃ মাজাদ হোসেন 
পিতা- মোঃ আজিজুল হক টিপু </t>
  </si>
  <si>
    <t xml:space="preserve">গ্রাম- দক্ষিন শেমপুর  
থানা- ছাগল নাইয়া 
জেলা- ফেনী 
 </t>
  </si>
  <si>
    <t xml:space="preserve">ছাগল নাইয়া থা: মা: নং-25(1)26
ধারা- 143/323/324/307/
379/506 পি সি </t>
  </si>
  <si>
    <t xml:space="preserve">আদর শেখ 
পিতা- মৃত: শামছুদ্দিন </t>
  </si>
  <si>
    <t xml:space="preserve">গ্রাম-  নিয়ামত সরক 
থানা- সদর 
জেলা- গাজীপুর 
 </t>
  </si>
  <si>
    <t xml:space="preserve">সদর থা: মা: নং-19(2)26
ধারা- 342/323/365/385
/386/34 পি সি </t>
  </si>
  <si>
    <t>মোঃ সাব্বির 
পিতা-মৃত জাহাঙ্গীর হোসেন</t>
  </si>
  <si>
    <t xml:space="preserve">গ্রাম- পাশান 
থানা- হোসেন পুর 
জেলা- কিশোরগঞ্জ 
 </t>
  </si>
  <si>
    <t>আরাইহাজার থা: মা: নং-13(2)26
ধারা- The special Power ACT 1974 - 19(এ)/19(এফ)</t>
  </si>
  <si>
    <t xml:space="preserve">মোঃ এসান উল্লা রিজভি 
পিতা- মোঃ এনায়েত উল্লা </t>
  </si>
  <si>
    <t xml:space="preserve">গ্রাম- 315 মাজার গলি 
থানা- চকবাজার 
জেলা- চট্রগ্রাম 
 </t>
  </si>
  <si>
    <t>চকবাজার থা: মা: নং-7(7)24
ধারা- 143/341/323/307
/324/326/506/34</t>
  </si>
  <si>
    <t xml:space="preserve">মোঃ সাকিব আল হাসান 
পিতা- জয়নাল আবেদিন </t>
  </si>
  <si>
    <t xml:space="preserve">গ্রাম- খামারপারা 
থানা- ঈদগাও
জেলা- কক্সবাজার 
 </t>
  </si>
  <si>
    <t>বায়োজীদ বোস্থামী থা: মা: নং-6(2)26
ধারা- ২০১৮ সনের মাদকদ্রব্য নিয়ন্ত্রন আইন এর ৩৬(১) সারনির 10(ক)</t>
  </si>
  <si>
    <t xml:space="preserve">মো জুবায়েত হোসেন রিমন 
পিতা- মোবারাক হোসেন  </t>
  </si>
  <si>
    <t xml:space="preserve">গ্রাম- সত্তরপারা 
থানা- রাউজান
জেলা- চট্রগ্রাম 
 </t>
  </si>
  <si>
    <t xml:space="preserve">রাউজান থা: মা: নং-3(2)26
জি আর নং- 13/26
ধারা- 380 পি সি </t>
  </si>
  <si>
    <t xml:space="preserve">মোঃ শান্ত হোসেন 
পিতা- মোঃ কামাল হোসেন </t>
  </si>
  <si>
    <t xml:space="preserve">গ্রাম- মিরপুর 13 
থানা- কাফরুল 
জেলা- ঢাকা 
 </t>
  </si>
  <si>
    <t xml:space="preserve">ক্যান্টনমেন্ট থা: মা: নং- 6(2)26
ধারা- 454/457/380/ পি সি </t>
  </si>
  <si>
    <t xml:space="preserve">মোঃ রাকিব হোসেন 
পিতা- মোঃ জহুরুল  ইসলাম </t>
  </si>
  <si>
    <t xml:space="preserve">গ্রাম- দেউজি  
থানা- সিরাজগঞ্জ সদর 
জেলা- সিরাজগঞ্জ 
 </t>
  </si>
  <si>
    <t xml:space="preserve">সিরাজগঞ্জ সদর থা: মা: নং-16(2)26
ধারা- 448/323/324/326/
307/506 পি সি </t>
  </si>
  <si>
    <t xml:space="preserve">আসিফ খান 
পিতা- মৃত: জসিম খান </t>
  </si>
  <si>
    <t xml:space="preserve">গ্রাম- দাতপুর 
থানা- কালকিনি 
জেলা- মাদারীপুর 
 </t>
  </si>
  <si>
    <t>লালবাগ থা: মা: নং-5(2)26
ধারা- ২০১৮ সনের মাদকদ্রব্য নিয়ন্ত্রন আইন এর ৩৬(১) সারনির 10(ক)/19(ক)</t>
  </si>
  <si>
    <t xml:space="preserve">মোঃ মিরাজ 
পিতা- মোঃ হারুন </t>
  </si>
  <si>
    <t xml:space="preserve">গ্রাম- ববি 
থানা- সদর 
জেলা- লক্ষীপুর 
 </t>
  </si>
  <si>
    <t>জি আর নং- 68/26 
ধারা- 143/447/323/
326/307/354/379/427/506(2)</t>
  </si>
  <si>
    <t xml:space="preserve">শিশু আদালত 
লক্ষীপুর </t>
  </si>
  <si>
    <t xml:space="preserve">সিয়াম বেপারী 
পিতা- কামাল হোসেন </t>
  </si>
  <si>
    <t xml:space="preserve">গ্রাম- খেলসী 
থানা- পালং 
জেলা- শরীয়তপুর 
 </t>
  </si>
  <si>
    <t xml:space="preserve">পালং থা: মা: নং-14(2)26
জি আর নং- 49/26
ধারা- 380/457/411/ পি সি </t>
  </si>
  <si>
    <t xml:space="preserve">শিশু আদালত
 শরীয়তপুর </t>
  </si>
  <si>
    <t xml:space="preserve">নাইম খান 
পিতা- মৃত: দুলাল উদ্দিন  খান রহুল </t>
  </si>
  <si>
    <t xml:space="preserve">গ্রাম- উত্তর রোবল নগর 
থানা- জাজিরা 
জেলা- শরীয়তপুর 
 </t>
  </si>
  <si>
    <t>পালং থা: মা: নং-10(8)26
জি আর নং- 267/26
ধারা- নারী  ও শিশু নির্যাতন দমন আইন ২০০০ এর 7</t>
  </si>
  <si>
    <t xml:space="preserve">রিফাত 
পিতা- সামছু মিয়া </t>
  </si>
  <si>
    <t xml:space="preserve">গ্রাম- তেলিকান্দি 
থানা- সরাইল 
জেলা- ব্রাক্ষনবাড়িয়া 
 </t>
  </si>
  <si>
    <t>সরাইল থা: মা: নং-10(2)26
জি আর নং- 55/26
ধারা- নারী  ও শিশু নির্যাতন দমন আইন ২০০০ এর 7/30</t>
  </si>
  <si>
    <t xml:space="preserve">শিশু আদালত 
ব্রাক্ষনবাড়িয়া </t>
  </si>
  <si>
    <t xml:space="preserve">মোঃ মাসুম মিয়া 
পিতা- জাহাঙ্গীর </t>
  </si>
  <si>
    <t xml:space="preserve">গ্রাম- ইব্রাহিমপুর 
থানা- বিজয়নগর 
জেলা- ব্রাক্ষনবাড়িয়া 
 </t>
  </si>
  <si>
    <t>বিজয়নগর থা: মা: নং-31(11)25
জি আর নং- 495/25
ধারা- 323/324/325/326
/307/379/506(2)</t>
  </si>
  <si>
    <t xml:space="preserve">নয়ন 
পিতা- শ্যামল </t>
  </si>
  <si>
    <t xml:space="preserve">গ্রাম- কালিদাশপারা  
থানা- সখিপুর 
জেলা- টঙ্গাইল 
 </t>
  </si>
  <si>
    <t xml:space="preserve">সখিপুর থা: মা: নং-6(2)26
জি আর নং- 22/26
ধারা-  302/34 পি সি  </t>
  </si>
  <si>
    <t>মোঃ গোলাম রাব্বি 
পিতা- মোঃ সোবাহান (পালক)</t>
  </si>
  <si>
    <t xml:space="preserve">গ্রাম- খাগরাছড়ি  
থানা- খাগরাছড়ি সদর 
জেলা-খাগরাছড়ি 
 </t>
  </si>
  <si>
    <t xml:space="preserve">খাগরাছড়ি সদর থা: মা: নং-10(1)26
জি আর নং- 7/26
ধারা- 457/380 পি সি  </t>
  </si>
  <si>
    <t xml:space="preserve">শিশু আদালত
খাগরাছড়ি </t>
  </si>
  <si>
    <t xml:space="preserve">শফিকুল ইসলাম 
পিতা- রাব্বি প্র: আল আমিন </t>
  </si>
  <si>
    <t>শিশু মামলা নং-1/26
পিটিশন নং- 74/25</t>
  </si>
  <si>
    <t xml:space="preserve">মোঃ সিয়াম 
পিতা- হযরত আলী </t>
  </si>
  <si>
    <t xml:space="preserve">গ্রাম-  
থানা- দূর্গাপুর  
জেলা- নেত্রকোনা 
 </t>
  </si>
  <si>
    <t xml:space="preserve">দূর্গাপুর  থা: মা: নং-8(2)26
ধারা- The special Power ACT 1974 - 25বি/ 1 বি </t>
  </si>
  <si>
    <t xml:space="preserve">শিশু আদালত 
নেত্রকোনা  </t>
  </si>
  <si>
    <t xml:space="preserve">মোঃ মিরাজ মিয়া 
পিতা- মোঃ মিলন </t>
  </si>
  <si>
    <t xml:space="preserve">গ্রাম- 
থানা- কোতয়ালী 
জেলা- ময়মনিসিংহ 
 </t>
  </si>
  <si>
    <t>কোতয়ালী থা: মা: নং-74(10)25
জি আর নং- 973/25
ধারা- 143/307/114/341/
323/326/302/506(2)</t>
  </si>
  <si>
    <t xml:space="preserve">আজমান শাহ রনি 
পিতা- আব্দুল হান্নান শাহ </t>
  </si>
  <si>
    <t xml:space="preserve">গ্রাম- 
থানা- দক্ষিনখান 
জেলা- ঢাকা 
 </t>
  </si>
  <si>
    <t xml:space="preserve">দক্ষিনখান থা: মা: নং-20(12)25
</t>
  </si>
  <si>
    <t xml:space="preserve">শিশু আদালত-5
ঢাকা  
</t>
  </si>
  <si>
    <t>সাবজাল হোসেন সাবজুল 
পিতা- আলাল উদ্দিন</t>
  </si>
  <si>
    <t xml:space="preserve">গ্রাম-  
থানা- ধামরাই  
জেলা- ঢাকা 
 </t>
  </si>
  <si>
    <t>শিশু মা: নং- 60/24
ধামরাই থা: মা: নং- 1(5)23</t>
  </si>
  <si>
    <t xml:space="preserve">শিশু আদালত-3
ঢাকা  
</t>
  </si>
  <si>
    <t xml:space="preserve">মোঃ শাকিব 
পিতা- মোঃ শিপন </t>
  </si>
  <si>
    <t xml:space="preserve">গ্রাম-  মধ্যপারা 
থানা- খিলগাঁও 
জেলা- ঢাকা 
 </t>
  </si>
  <si>
    <t xml:space="preserve">খিলগাঁও থা: মা: নং-13(2)26
ধারা- 393 পি সি </t>
  </si>
  <si>
    <t xml:space="preserve">মোঃ সুজন মিয়া 
পিতা- সবুর উদ্দিন </t>
  </si>
  <si>
    <t xml:space="preserve">গ্রাম- মনাষ 
থানা- বারহাট্টা 
জেলা- নেত্রকোনা 
 </t>
  </si>
  <si>
    <t>বারহাট্টা থা: মা: নং-8(2)26
ধারা- ২০১৮ সনের মাদকদ্রব্য নিয়ন্ত্রন আইন এর ৩৬(১) সারনির 19(ক)/41</t>
  </si>
  <si>
    <t xml:space="preserve">মোঃ সামির 
পিতা- মৃত: সোহাগ </t>
  </si>
  <si>
    <t xml:space="preserve">গ্রাম- চৈতলা 
থানা- সরাইল 
জেলা- ব্রাক্ষনবাড়িয়া 
 </t>
  </si>
  <si>
    <t xml:space="preserve">পূর্ব থা: মা: নং-4(11)25
ধারা-457/380 পি সি </t>
  </si>
  <si>
    <t xml:space="preserve">মোবাশ্বির খান 
পিতা- হাকিম </t>
  </si>
  <si>
    <t xml:space="preserve">গ্রাম- হিলরা আদিবারি   
থানা- মির্জাপুর 
জেলা- টাঙ্গাইল 
 </t>
  </si>
  <si>
    <t xml:space="preserve">আশুলিয়া থা: মা: নং- 57(2)26
ধারা- নারী  ও শিশু নির্যাতন দমন আইন ২০০০ এর </t>
  </si>
  <si>
    <t xml:space="preserve">শিশু আদালত
ঢাকা  
</t>
  </si>
  <si>
    <t xml:space="preserve">বিশাল বিন 
পিতা- রাম বালক বিণ </t>
  </si>
  <si>
    <t xml:space="preserve">গ্রাম- চরজিল সানাবিন পারা 
থানা- কোতয়ালী 
জেলা- ময়মনসিংহ 
 </t>
  </si>
  <si>
    <t xml:space="preserve"> কোতয়ালী থা: মা: নং-38(2)26
</t>
  </si>
  <si>
    <t xml:space="preserve">শিশু আদালত
ময়মনসিংহ 
</t>
  </si>
  <si>
    <t xml:space="preserve">মোঃ শান্ত ৥ বাবু 
পিতা- মোঃ দুলাল </t>
  </si>
  <si>
    <t xml:space="preserve">গ্রাম- গজহর পুর 
থানা- তারাকান্দা 
জেলা- ময়সনসিংহ 
 </t>
  </si>
  <si>
    <t xml:space="preserve">তারাকান্দা থা: মা: নং-8(2)26
জি আর নং- 24/26
</t>
  </si>
  <si>
    <t xml:space="preserve">মোঃ আরিফ 
পিতা- মোঃ জাহাঙ্গীর সওদাগর </t>
  </si>
  <si>
    <t xml:space="preserve">গ্রাম-  ষমশেরপারা 
থানা- চান্দঁগাঁও 
জেলা- চট্রগ্রাম 
 </t>
  </si>
  <si>
    <t xml:space="preserve">চান্দঁগাঁও থা: মা: নং-19(2)26
ধারা- 143/342/323/307/
326 পি সি </t>
  </si>
  <si>
    <t xml:space="preserve">মোঃ কাশেম উদ্দিন 
পিতা- মোঃ ইউনুছ </t>
  </si>
  <si>
    <t xml:space="preserve">গ্রাম-  ইদামতি 
থানা- সাতকানিয়া 
জেলা- চট্রগ্রাম 
 </t>
  </si>
  <si>
    <t xml:space="preserve">সাতকানিয়া থা: মা: নং-13(6)25
জি আর নং- 
ধারা- নারী  ও শিশু নির্যাতন দমন আইন ২০০০ এর </t>
  </si>
  <si>
    <t xml:space="preserve">মোঃ আব্দুর শুক্কুর 
পিতা- আবুল কাশেম </t>
  </si>
  <si>
    <t xml:space="preserve">গ্রাম-  
থানা- পেকুয়া  
জেলা- কক্সবাজার 
 </t>
  </si>
  <si>
    <t>লোহাগড়া থা: মা: নং-1(1)26
জি আর নং- 1/26
ধারা- 2018 সনের সড়ক পরিবহন আইনের 98/105</t>
  </si>
  <si>
    <t>সড়ক পরিবহন আইন</t>
  </si>
  <si>
    <t xml:space="preserve">জাহিদ আহম্মেদ 
পিতা- সেলিম উদ্দিন </t>
  </si>
  <si>
    <t xml:space="preserve">গ্রাম- বড় ময়দান 
থানা- বড়লেখা 
জেলা- মৌলভীবাজার 
 </t>
  </si>
  <si>
    <t>বড়লেখা থা: মা: নং-9(12)25
জি আর নং- 
ধারা- নারী  ও শিশু নির্যাতন দমন আইন ২০০০ এর 8/9(3)/11/12</t>
  </si>
  <si>
    <t xml:space="preserve">রিহান মৃধা 
পিতা- মোক্তার হোসেন মৃধা </t>
  </si>
  <si>
    <t xml:space="preserve">গ্রাম- আলী নগর 
থানা- শিবপুর 
জেলা- নরসিংদী 
 </t>
  </si>
  <si>
    <t>বাড্ডা থা: মা: নং-15(2)26
ধারা- 143/307/323/
326/506</t>
  </si>
  <si>
    <t xml:space="preserve">মোঃ আব্দুল রিজওয়ান 
পিতা- মোঃ সোহেল রানা </t>
  </si>
  <si>
    <t xml:space="preserve">গ্রাম- বাসা নং- 13 
থানা- বাড্ডা 
জেলা- ঢাকা 
 </t>
  </si>
  <si>
    <t xml:space="preserve">হাদিউর রহমান রৌদ্র 
পিতা- আবুল কালাম আজাদ </t>
  </si>
  <si>
    <t xml:space="preserve">গ্রাম- ডগাইর নতুনপারা 
থানা- ডেমরা 
জেলা- ঢাকা 
 </t>
  </si>
  <si>
    <t xml:space="preserve"> ডেমরা থা: মা: নং-31(4)23
ধারা- 302/34 পি সি </t>
  </si>
  <si>
    <t xml:space="preserve">সানজিদ ইসলাম 
পিতা- সাইফুল ইসলাম </t>
  </si>
  <si>
    <t xml:space="preserve">গ্রাম- চান্দিবাসা 
থানা- দাউদকান্দি 
জেলা- কুমিল্লা 
 </t>
  </si>
  <si>
    <t xml:space="preserve">মোঃ আমিন 
পিতা- মোঃ রুবেল </t>
  </si>
  <si>
    <t xml:space="preserve">গ্রাম- রায়েরটেক ধোনবারি   
থানা- সোনারগাঁও 
জেলা- নারায়নগঞ্জ 
 </t>
  </si>
  <si>
    <t xml:space="preserve">সোনারগাঁও থা: মা: নং-23(2)26
ধারা- 341/323/324/326
/307/326/307/379/506 পি সি  </t>
  </si>
  <si>
    <t xml:space="preserve">মোঃ আব্দুল্লাহ শিমুল 
পিতা- মোঃ ফরিদ আলম </t>
  </si>
  <si>
    <t xml:space="preserve">গ্রাম- রসুলপুর 
থানা- আড়াইহাজার 
জেলা- নারায়নগঞ্জ 
 </t>
  </si>
  <si>
    <t>আড়াইহাজার থা: মা: নং-19(2)26
ধারা- 143/341/186/324/325/
332/323/307/353/506(2)</t>
  </si>
  <si>
    <t xml:space="preserve">মোঃ আকরাম হোসেন 
পিতা- মোঃ আমির হোসেন </t>
  </si>
  <si>
    <t xml:space="preserve">গ্রাম-  তেলিয়া 
থানা- শিবপুর 
জেলা- নরসিংদী
 </t>
  </si>
  <si>
    <t xml:space="preserve">শিবপুর থা: মা: নং-2(1)26
ধারা- 392 পি সি </t>
  </si>
  <si>
    <t xml:space="preserve">রাজিব মিয়া 
পিতা- মোঃ মিন্টু  মিয়া </t>
  </si>
  <si>
    <t xml:space="preserve">গ্রাম- মোড়াদিয়া  
থানা- নরসিংদী
জেলা- নরসিংদী
 </t>
  </si>
  <si>
    <t>নরসিংদী থা: মা: নং-398/25()
ধারা- 323/379/380/506(2)</t>
  </si>
  <si>
    <t xml:space="preserve">নাছিব আহম্মেদ 
পিতা- মৃত: বাদশা </t>
  </si>
  <si>
    <t xml:space="preserve">গ্রাম-  ঘাগুটিয়া 
থানা- শিবপুর 
জেলা- নরসিংদী 
 </t>
  </si>
  <si>
    <t xml:space="preserve">শিবপুর থা: মা: নং-11(6)25
ধারা- 143/447/323/385
/427/506 পি সি </t>
  </si>
  <si>
    <t xml:space="preserve">জামসেদুল ইসলাম তোহা
পিতা- মৃত: নুর মোহাম্মাদ </t>
  </si>
  <si>
    <t xml:space="preserve">গ্রাম-  উত্তর সুরোজপুর 
থানা- চকরিয়া 
জেলা- কক্সবাজার 
 </t>
  </si>
  <si>
    <t xml:space="preserve"> চকরিয়া থা: মা: নং-15(2)26
জি আর নং- 15/26
ধারা- 395/397 পি সি </t>
  </si>
  <si>
    <t xml:space="preserve">ওমর ফারুক বাবু 
পিতা- আবুল হোসেন </t>
  </si>
  <si>
    <t xml:space="preserve">গ্রাম- পানিছ্যারা ঘোনা  
থানা- রামু 
জেলা- কক্সবাজার 
 </t>
  </si>
  <si>
    <t>রামু থা: মা: নং-11(1)26
জি আর নং- 11/26
ধারা- The special Power ACT 1974 - 19(এফ)</t>
  </si>
  <si>
    <t xml:space="preserve">মোঃ সাদেক 
পিতা- মোঃ ইদ্রিস </t>
  </si>
  <si>
    <t xml:space="preserve">গ্রাম- রসুল্লাবাদ 
থানা- টেকনাফ 
জেলা- কক্সবাজার 
 </t>
  </si>
  <si>
    <t xml:space="preserve">টেকনাফ থা: মা: নং-47(7)25
জি আর নং- 477/25
ধারা- নারী  ও শিশু নির্যাতন দমন আইন ২০০০ এর 10 তৎসহ 323/326/307/506/34 </t>
  </si>
  <si>
    <t xml:space="preserve">করিম উল্লাহ 
পিতা- আমিনুল রহমান </t>
  </si>
  <si>
    <t xml:space="preserve">গ্রাম- ক্যাম্প 1 
থানা- উখিয়া 
জেলা- কক্সবাজার 
 </t>
  </si>
  <si>
    <t>উখিয়া থা: মা: নং-22(2)26
জি আর নং- 83/26
ধারা- ২০১৮ সনের মাদকদ্রব্য নিয়ন্ত্রন আইন এর ৩৬(১) সারনির 19(ক)</t>
  </si>
  <si>
    <t xml:space="preserve">ওমর ফারুক চালক 
পিতা- জয়নাল উদ্দিন </t>
  </si>
  <si>
    <t xml:space="preserve">গ্রাম- দমদমিয়া 
থানা- টেকনাফ 
জেলা- কক্সবাজার 
 </t>
  </si>
  <si>
    <t>রামু থা: মা: নং-43(12)25
জি আর নং- 829/25
ধারা- ২০১৮ সনের মাদকদ্রব্য নিয়ন্ত্রন আইন এর ৩৬(১) সারনির 10(গ)/38</t>
  </si>
  <si>
    <t xml:space="preserve">মোঃ সমির হোসেন ভূইয়া 
পিতা- মোঃ মিনার হোসেন ভূইয়া </t>
  </si>
  <si>
    <t xml:space="preserve">গ্রাম- হীরাপুর  
থানা- আখাউরা 
জেলা- ব্রাক্ষনবাড়িয়া 
 </t>
  </si>
  <si>
    <t xml:space="preserve"> আখাউরা থা: মা: নং-4(2)26
জি আর নং- 24/26
ধারা- নারী  ও শিশু নির্যাতন দমন আইন ২০০০ এর 9(1)</t>
  </si>
  <si>
    <t xml:space="preserve">আশরাফুল 
পিতা- রুবেল মিয়া </t>
  </si>
  <si>
    <t xml:space="preserve">গ্রাম- নিকলা পারা 
থানা- ভূয়াপুর 
জেলা-টাঙ্গাইল 
 </t>
  </si>
  <si>
    <t>ভূয়াপুর থা: মা: নং-4(2)26
জি আর নং- 12/26
ধারা- নারী  ও শিশু নির্যাতন দমন আইন ২০০০ এর 9(1)</t>
  </si>
  <si>
    <t xml:space="preserve">তৌহিদ এহসান 
পিতা- মোঃ ইসমাইল হোসেন </t>
  </si>
  <si>
    <t xml:space="preserve">গ্রাম- চর খরিচা  
থানা- কোতয়ালী 
জেলা- ময়মনসিংহ 
 </t>
  </si>
  <si>
    <t>কোতয়ালী থা: মা: নং-30(1)26
জি আর নং- 30/26
ধারা- 143/323/326/
307/379/114/506(2)</t>
  </si>
  <si>
    <t xml:space="preserve">মোঃ জাহিদুল ইসলাম জাওয়াদ 
পিতা- মোঃ জহিরুল ইসলাম </t>
  </si>
  <si>
    <t xml:space="preserve">গ্রাম- কলেজরোড  
থানা- কোতয়ালী 
জেলা- ময়মনসিংহ 
 </t>
  </si>
  <si>
    <t xml:space="preserve">মোঃ ফয়সাল 
পিতা- মোঃ টিটু </t>
  </si>
  <si>
    <t xml:space="preserve">গ্রাম- কাশয়ানি 
থানা- কাশয়ানি 
জেলা- গোপালগঞ্জ 
 </t>
  </si>
  <si>
    <t xml:space="preserve">কাফরুল থা: মা: নং-9(2)26
ধারা- 323/324/326/307/
506/109/114/ পি সি </t>
  </si>
  <si>
    <t xml:space="preserve">মোঃ রাব্বি আহম্মেদ 
পিতা- মোঃ আজিজ আহম্মেদ </t>
  </si>
  <si>
    <t xml:space="preserve">গ্রাম- হাকিপুর 
থানা- উজিরপুর 
জেলা- বরিশাল 
 </t>
  </si>
  <si>
    <t xml:space="preserve">তাওহিদ আহম্মেদ আল আমিন 
পিতা- মোঃ শহিদ উল্লা </t>
  </si>
  <si>
    <t xml:space="preserve">গ্রাম- পারাইল  
থানা- কোতয়ালী 
জেলা- ময়মনসিংহ 
 </t>
  </si>
  <si>
    <t xml:space="preserve">মেহেরাব হাসান ফাহিম 
পিতা- মৃত: আহম্মেদ উল্লা </t>
  </si>
  <si>
    <t xml:space="preserve">গ্রাম- আনন্দপুর  
থানা- মুন্সিগঞ্জ 
জেলা- মুন্সিগঞ্জ
 </t>
  </si>
  <si>
    <t xml:space="preserve">মোঃ শিহাব আহম্মেদ 
পিতা- মোঃ মনির হোসেন </t>
  </si>
  <si>
    <t xml:space="preserve">গ্রাম- পিপরাখালি 
থানা- মির্জাগঞ্জ 
জেলা- পটুয়াখালি 
 </t>
  </si>
  <si>
    <t xml:space="preserve">মোঃ অপুর্ব 
পিতা- দিদার </t>
  </si>
  <si>
    <t xml:space="preserve">গ্রাম- সাতুবাইল দরবার  
থানা- যাত্রাবাড়ি 
জেলা- ঢাকা
 </t>
  </si>
  <si>
    <t>জি আর নং- 98/26</t>
  </si>
  <si>
    <t xml:space="preserve">মোঃ আব্দুল্লাহ 
পিতা- রাব্বি হাসান </t>
  </si>
  <si>
    <t xml:space="preserve">গ্রাম- উজিপুর 
থানা- চান্দিনা 
জেলা- কুমিল্লা 
 </t>
  </si>
  <si>
    <t xml:space="preserve">কোতয়ালী থা: মা: নং- 20(2)26
ধারা- 399/402 পি সি  </t>
  </si>
  <si>
    <t xml:space="preserve">মোঃ আরাফাত 
পিতা- মোঃ আবু তাহের </t>
  </si>
  <si>
    <t xml:space="preserve">গ্রাম- হাউসপুর 
থানা- গোরিপুর 
জেলা- ময়মনসিংহ 
 </t>
  </si>
  <si>
    <t xml:space="preserve">কোতয়ালী থা: মা: নং-20(1)26
ধারা- 399/402 পি সি </t>
  </si>
  <si>
    <t xml:space="preserve">দেবরাজ বীন 
পিত- জগদীস বীন </t>
  </si>
  <si>
    <t xml:space="preserve">গ্রাম- চরজেলখানা বিলপারা 
থানা- কোতয়ালী 
জেলা- ময়মনসিংহ 
 </t>
  </si>
  <si>
    <t xml:space="preserve">কোতয়ালী থা: মা: নং-38(2)26 
ধারা- 143/341/323/
364/34 পি সি </t>
  </si>
  <si>
    <t xml:space="preserve">বিশাল বীন  
পিতা- রঞ্জন বীন মুন্না </t>
  </si>
  <si>
    <t xml:space="preserve">বিপুল বীন 
পিতা-  রঞ্জন বীন মুন্না </t>
  </si>
  <si>
    <t xml:space="preserve">রাজ বীন 
পিতা- নারায়ন বীন </t>
  </si>
  <si>
    <t xml:space="preserve">আদিত্য বীন হৃদয় 
পিতা- জিতেন বীন </t>
  </si>
  <si>
    <t xml:space="preserve">আঃ কাদের তপু 
পিতা- তাজুল ইসলাম </t>
  </si>
  <si>
    <t xml:space="preserve">গ্রাম-  গাজীপুর 
থানা- কোতয়ালী 
জেলা- কুমিল্লা 
 </t>
  </si>
  <si>
    <t>কোতয়ালী থা: মা: নং-59(12)25
জি আর নং- 1000/25
ধারা- ২০১৮ সনের মাদকদ্রব্য নিয়ন্ত্রন আইন এর ৩৬(১) সারনির 10(গ)</t>
  </si>
  <si>
    <t>মোঃ আক্কাশ আলী প্র: আকাশ 
পিতা- সাহাদাৎ</t>
  </si>
  <si>
    <t xml:space="preserve">গ্রাম- চান্দনা 
থানা- নাচোল 
জেলা- চাপাইনবাবগঞ্জ 
 </t>
  </si>
  <si>
    <t xml:space="preserve">মুরাদনগর থা: মা: নং-6(2)26
জি আর নং- 26/26
ধারা- 302 পি সি </t>
  </si>
  <si>
    <t xml:space="preserve">মোফাজ্জাল হোসেন 
পিতা- মোজাম্মেল হোসেন </t>
  </si>
  <si>
    <t xml:space="preserve">গ্রাম- আলমপুর গজারিয়া 
থানা- সদর দক্ষিন মডেল 
জেলা- কুমিল্লা 
 </t>
  </si>
  <si>
    <t xml:space="preserve">সদর দক্ষিন মডেল থা: মা: নং-17(2)26
জি আর নং- 80/26
ধারা- 364/385/34 পি সি </t>
  </si>
  <si>
    <t xml:space="preserve">মোঃ নুর আলম 
পিতা- ফজরুর রহমান </t>
  </si>
  <si>
    <t xml:space="preserve">গ্রাম-  সুমির বাড়ি 
থানা- শেলেবাংলা নগর 
জেলা- ঢাকা 
 </t>
  </si>
  <si>
    <t xml:space="preserve"> শেলেবাংলা নগর থা: মা: নং-8(2)26
ধারা- ২০১৮ সনের মাদকদ্রব্য নিয়ন্ত্রন আইন এর ৩৬(১) সারনির 10(ক)</t>
  </si>
  <si>
    <t xml:space="preserve">মোঃ বিপ্লব মিয়া ৥ বিশু
পিতা- সাজেদুল হক ৥ সাজি </t>
  </si>
  <si>
    <t xml:space="preserve">গ্রাম- পশ্চিম কাজলাপারা 
থানা- দেওয়ানগঞ্জ 
জেলা- জামালপুর 
 </t>
  </si>
  <si>
    <t>দেওয়ানগঞ্জ থা: মা: নং-14(3)24 
জি আর নং- 
শিশু মা নং- 83/24</t>
  </si>
  <si>
    <t>শিশু আদালত
জামালপুর</t>
  </si>
  <si>
    <t xml:space="preserve">মোঃ এনামুল 
পিতা- মোঃ হযরত আলী </t>
  </si>
  <si>
    <t xml:space="preserve">গ্রাম- বাওগান   
থানা- বেলকুচি 
জেলা- সিরাজঞ্জ 
 </t>
  </si>
  <si>
    <t>বেলকুচি থা: মা: নং-9(1)26
জি আর নং- 9/25
ধারা- নারী  ও শিশু নির্যাতন দমন আইন ২০০০ এর 9(1)/7/30</t>
  </si>
  <si>
    <t xml:space="preserve">শরিফ হোসেন সায়মন 
পিতা- মকবুল বেপারী </t>
  </si>
  <si>
    <t xml:space="preserve">গ্রাম- চরকৃষ্ণপুর 
থানা- হাইমচর 
জেলা- চাঁদপুর 
 </t>
  </si>
  <si>
    <t xml:space="preserve">হাইমচর থা: মা: নং-19(2)26
ধারা- 457/380/427 পি সি </t>
  </si>
  <si>
    <t xml:space="preserve">অজয় চন্দ্র ঘোষ ৥ দেব ঘোষ 
পিতা- মানিক চন্দ্র ঘোষ </t>
  </si>
  <si>
    <t xml:space="preserve">গ্রাম- চর জেলখানা বিন পারা
থানা- কোতয়ালী 
জেলা-ময়মনসিংহ 
 </t>
  </si>
  <si>
    <t xml:space="preserve">কোতয়ালী থা: মা: নং-38(2)26
জি আর নং- 131/26
ধারা- 143/341/323/334/
34 তৎসহ 302/201 পি সি </t>
  </si>
  <si>
    <t xml:space="preserve">রৌদ 
পিতা- মৃত: শহিদুল  </t>
  </si>
  <si>
    <t xml:space="preserve">গ্রাম- নুরপুর 
থানা- কদমতলী 
জেলা- ঢাকা 
 </t>
  </si>
  <si>
    <t>কদমতলী থা: মা: নং-16(2)26
ধারা- 307/326</t>
  </si>
  <si>
    <t xml:space="preserve">মোঃ রবিউল ইসলাম 
পিতা- মোঃ মামুনুর রশিদ </t>
  </si>
  <si>
    <t xml:space="preserve">গ্রাম- কোশিয়া 
থানা- গোদাগাড়ী 
জেলা- রাজশাহী 
 </t>
  </si>
  <si>
    <t xml:space="preserve">হাজারীবাগ থা: মা: নং-26(2)26
জি আর নং- 
ধারা-323/324/307/506 পি সি </t>
  </si>
  <si>
    <t xml:space="preserve">মোঃশরিফুল ইসলাম 
পিতা- মোঃ তারা মিয়া </t>
  </si>
  <si>
    <t xml:space="preserve">গ্রাম- কাটাদুয়ার 
থানা- পীরগঞ্জ 
জেলা- রংপুর 
 </t>
  </si>
  <si>
    <t>জয়দেপুর থা: মা: নং-18(2)26
জি আর নং- 48/26
ধারা- নারী  ও শিশু নির্যাতন দমন আইন ২০০০ এর 7/30</t>
  </si>
  <si>
    <t xml:space="preserve">মোঃ হাসান 
পিতা- বেলাল হোসেন  </t>
  </si>
  <si>
    <t xml:space="preserve">গ্রাম- পূর্ববাগমারা 
থানা- পরশুরাম 
জেলা- ফেনী 
 </t>
  </si>
  <si>
    <t>পরশুরাম থা: মা: নং-4(1)26
জি আর নং- 4/26
ধারা- নারী  ও শিশু নির্যাতন দমন আইন ২০০০ এর 9(1)</t>
  </si>
  <si>
    <t xml:space="preserve">শিশু আদালত ফেনী </t>
  </si>
  <si>
    <t xml:space="preserve">জিহাদ হোসেন 
পিতা- মোঃ মনির হোসেন </t>
  </si>
  <si>
    <t xml:space="preserve">গ্রাম- কায়েমপুর 
থানা- কসবা 
জেলা- ব্রাক্ষনবাড়িয়া 
 </t>
  </si>
  <si>
    <t>কসবা থা: মা: নং-22(2)25
জি আর নং- 519/25
ধারা- 143/447/436/307
/427/506/</t>
  </si>
  <si>
    <t xml:space="preserve">কারির 
পিতা- কামাল </t>
  </si>
  <si>
    <t xml:space="preserve">গ্রাম- চেচরা  
থানা- নবীনগর 
জেলা- ব্রাক্ষনবাড়িয়া 
 </t>
  </si>
  <si>
    <t>নবীনগর থা: মা: নং-24(2)26
ধারা- নারী  ও শিশু নির্যাতন দমন আইন ২০০০ এর 9(4)(খ)</t>
  </si>
  <si>
    <t xml:space="preserve">মেরাজ  
পিতা- মোঃ রিপন মিয়া </t>
  </si>
  <si>
    <t xml:space="preserve">গ্রাম- দাতিয়ারা 
থানা- সদর 
জেলা- ব্রাক্ষনবাড়িয়া 
 </t>
  </si>
  <si>
    <t>ব্রাক্ষনবাড়িয়া থা: মা: নং-35(2)26
ধারা- 143/323/324/30
7/341/326/379/114/506(2)</t>
  </si>
  <si>
    <t xml:space="preserve">মোঃ বিল্লাল হোসেন ৥ শিব্র 
পিতা- মোঃ সোহাগ মিয়া  </t>
  </si>
  <si>
    <t xml:space="preserve">গ্রাম- রাঘাইচটি  
থানা- গফুরগাও 
জেলা- ময়মনসিংহ 
 </t>
  </si>
  <si>
    <t xml:space="preserve">গফুরগাও থা: মা: নং-13(9)25
জি আর নং- 108/25
ধারা- 457/380 পি সি </t>
  </si>
  <si>
    <t xml:space="preserve">শিশু আদালত-2
ময়মনসিংহ </t>
  </si>
  <si>
    <t xml:space="preserve">মোঃ ইমরান হক তুষার 
পিতা- মোঃ আ: মান্নান </t>
  </si>
  <si>
    <t xml:space="preserve">গ্রাম- বাদিহাটি 
থানা- ফুলবাড়িয়া 
জেলা- ময়মনসিংহ 
 </t>
  </si>
  <si>
    <t xml:space="preserve">ফুলবাড়িয়া থা: মা: নং-18(7)25
জি আর নং- 140/25
ধারা- 341/323/326/
307/506/34 </t>
  </si>
  <si>
    <t xml:space="preserve">ফয়সাল মিয়া ৥ জুয়েল 
পিতা- রৌশন আলী </t>
  </si>
  <si>
    <t xml:space="preserve">গ্রাম- আলীরচর 
থানা- মুরাদনগর 
জেলা- কুমিল্লা 
 </t>
  </si>
  <si>
    <t>মুরাদনগর থা: মা: নং-9(2)26
জি আর নং- 29/26
ধারা- 143/341/323/324/
307/379/506(2)</t>
  </si>
  <si>
    <t xml:space="preserve">শিশু আদালত-3 
কুমিল্লা </t>
  </si>
  <si>
    <t xml:space="preserve">সিফাত আহম্মেদ 
পিতা- রিপন আহম্মেদ </t>
  </si>
  <si>
    <t xml:space="preserve">গ্রাম- মাষ্টার কলোনি   
থানা- মাদারীপুর 
জেলা- মাদারীপুর 
 </t>
  </si>
  <si>
    <t xml:space="preserve">মাদারীপুর থা: মা: নং-57(1)26
জি আর নং- 57/26
</t>
  </si>
  <si>
    <t xml:space="preserve">শিশু আদালত 
মাদারীপুর </t>
  </si>
  <si>
    <t xml:space="preserve">মোঃ নাঈম ইসলাম 
পিতা- মোঃ আলফাজ মিয়া </t>
  </si>
  <si>
    <t xml:space="preserve">গ্রাম- মাজাইরপেলাশ 
থানা- বিশ্বম্ভরপুর 
জেলা- সুনামগঞ্জ 
 </t>
  </si>
  <si>
    <t xml:space="preserve">শাহ পরান জি আর নং- 175/25
</t>
  </si>
  <si>
    <t xml:space="preserve">মোঃ সজিব 
পিতা- মোঃ হানিফ </t>
  </si>
  <si>
    <t xml:space="preserve">গ্রাম- রেলওয়ে 
থানা- খুলশি 
জেলা- চট্রগ্রাম 
 </t>
  </si>
  <si>
    <t xml:space="preserve">খুলশি থা: মা: নং-2(11)24
</t>
  </si>
  <si>
    <t>জামিনে মুক্তি 01-03-26</t>
  </si>
  <si>
    <t xml:space="preserve">মোঃ রমজান আলী ৥ পিচ্চি বাদশা 
পিতা- ফিরোজ খান </t>
  </si>
  <si>
    <t xml:space="preserve">গ্রাম- বাকলিয়া 
থানা- বাকলিয়া 
জেলা- চট্রগ্রাম 
 </t>
  </si>
  <si>
    <t>বাকলিয়া থা: মা: নং-14(1)23
জি আর নং- 14/23
ধারা- 323/379/411</t>
  </si>
  <si>
    <t xml:space="preserve">তারেক হোসেন নাঈম 
পিতা- মোঃ মহি উদ্দিন </t>
  </si>
  <si>
    <t xml:space="preserve">গ্রাম-  
থানা- কর্নফুলি 
জেলা-  চট্রগ্রাম 
 </t>
  </si>
  <si>
    <t xml:space="preserve">কর্নফুলি থা: মা: নং-14(8)24
জি আর নং-
ধারা- 1974 সনের বিশেষ ক্ষমতা আইন 15-3 তৎসহ 143/147/148/149/447/448/427/435/379/380 
</t>
  </si>
  <si>
    <t xml:space="preserve">মোঃ আব্দুল্লাহ 
পিতা- সাহাবুদ্দিন </t>
  </si>
  <si>
    <t xml:space="preserve">গ্রাম- জগতপুর  
থানা- দাগন ভূইয়া 
জেলা- ফেনী 
 </t>
  </si>
  <si>
    <t>চকবাজার থা: মা: নং-11(9)25
ধারা- 143/341/323/324/
326/307/506</t>
  </si>
  <si>
    <t xml:space="preserve">ইবনে নিহান 
পিতা- মোঃ শাহ আলম </t>
  </si>
  <si>
    <t xml:space="preserve">গ্রাম- দক্ষিন ঘাটা 
থানা- পটিয়া 
জেলা- চট্রগ্রাম 
 </t>
  </si>
  <si>
    <t>পাঁচলাইশ থা: মা: নং-16(1)26 
ধারা- 143/447/3074/323/
324/326/354/427/506/114</t>
  </si>
  <si>
    <t xml:space="preserve">সৌরভ মিয়া 
পিতা- জজ মিয়া </t>
  </si>
  <si>
    <t xml:space="preserve">গ্রাম-  বর মনোহরদি   
থানা- আড়াইহাজার 
জেলা- নারায়নগঞ্জ 
 </t>
  </si>
  <si>
    <t xml:space="preserve">আড়াইহাজার থা: মা: নং-2(1)26
ধারা- 143/323/324/
326/307/506 পিসি </t>
  </si>
  <si>
    <t xml:space="preserve">মোঃ সোহান 
পিতা-  আয়নাল হোসেন </t>
  </si>
  <si>
    <t xml:space="preserve">গ্রাম-  ভগলপুর 
থানা- হাজারীবাগ 
জেলা-ঢাকা 
 </t>
  </si>
  <si>
    <t>হাজারীবাগ থা: মা: নং-30(2)26
ধারা- আইন শৃঙ্খোলা বিঘ্নকারী অপরাধ (দ্রুত বিচার) আইন 2002(সং-19) এর 4/5</t>
  </si>
  <si>
    <t xml:space="preserve">হাফিজুর রহমান আনিক 
পিতা- মোঃ আনিস মিয়া </t>
  </si>
  <si>
    <t xml:space="preserve">গ্রাম- পশ্চিম উলুঘাটি    
থানা- নেত্রকোনা 
জেলা- নেত্রকোনা 
 </t>
  </si>
  <si>
    <t xml:space="preserve">নেত্রকোনা থা: মা: নং-20(2)26
জি আর নং- 56(2)26 
ধারা- 380/457 পি সি </t>
  </si>
  <si>
    <t xml:space="preserve">শাকিল 
পিতা- মোঃ সেলিম </t>
  </si>
  <si>
    <t xml:space="preserve">গ্রাম- যাত্রামুরা  
থানা- রুপগঞ্জ 
জেলা- নারায়নগঞ্জ
 </t>
  </si>
  <si>
    <t xml:space="preserve">রুপগঞ্জ থা: মা: নং-53(10)25
ধারা- 457/454/379/380/34 পি সি </t>
  </si>
  <si>
    <t xml:space="preserve">মোঃ রিফাত 
পিতা- মোঃ জহির </t>
  </si>
  <si>
    <t xml:space="preserve">গ্রাম- কোম্পানীগঞ্জ 
থানা- মুরাদনগর 
জেলা- কুমিল্লা 
 </t>
  </si>
  <si>
    <t xml:space="preserve">মোঃ সজিব 
পিতা- মোঃ মামুন </t>
  </si>
  <si>
    <t xml:space="preserve">গ্রাম- নতুন রেলষ্টেশন 
থানা- কোতয়ালী 
জেলা- চট্রগ্রাম 
 </t>
  </si>
  <si>
    <t xml:space="preserve">কোতয়ালী থা: মা: নং-10(2)26
জি আর নং- 66/26
ধারা- 399/402 পি সি </t>
  </si>
  <si>
    <t xml:space="preserve">মোঃ শফিক 
পিতা- আহাদ </t>
  </si>
  <si>
    <t xml:space="preserve">গ্রাম- দমিপে হালিশহর  
থানা- বন্দর 
জেলা- চট্রগ্রাম 
 </t>
  </si>
  <si>
    <t xml:space="preserve"> বন্দর থা: মা: নং-7(3)22
শিশু নং- 41/22
জি আর নং- 71/22</t>
  </si>
  <si>
    <t xml:space="preserve">শয়ন চক্রবর্তি 
পিতা- মিঠুন চক্রবর্তি </t>
  </si>
  <si>
    <t xml:space="preserve">গ্রাম- মিরপারা 
থানা- বায়োজিদ 
জেলা- চট্রগ্রাম 
 </t>
  </si>
  <si>
    <t xml:space="preserve">বায়োজিদ বোস্তামী থা: মা: নং-1524(2)26
</t>
  </si>
  <si>
    <t xml:space="preserve">মোঃ আব্দুল হাসান ৥ রিফাত 
পিতা- মোঃ আব্দুর রহিম রিপন </t>
  </si>
  <si>
    <t xml:space="preserve">গ্রাম- কেনরানীপুর  
থানা- কোম্পানীগঞ্জ 
জেলা- নোয়াখালী 
 </t>
  </si>
  <si>
    <t>বন্দর থা: মা: নং-11(2)26 
ধারা- 302</t>
  </si>
  <si>
    <t xml:space="preserve">মোঃ আব্দুর রহিম 
পিতা-  মোঃ বিপুল </t>
  </si>
  <si>
    <t xml:space="preserve">গ্রাম- আবজাল 
থানা- রামগতি 
জেলা- লক্ষীপুর 
 </t>
  </si>
  <si>
    <t>বায়োজিদ বোস্তামি থা: মা: নং-22(2)26
ধারা- আইন শৃঙ্খোলা বিঘ্নকারী অপরাধ (দ্রুত বিচার) আইন 2002(সং-19) এর 4/5</t>
  </si>
  <si>
    <t xml:space="preserve">মোঃ জহিরুল ইসলাম 
পিতা- মোঃ হাফিজ উদ্দিন </t>
  </si>
  <si>
    <t xml:space="preserve">গ্রাম- গফরগাঁরও 
থানা- গফরগাঁও 
জেলা- ময়মনসিংহ 
 </t>
  </si>
  <si>
    <t>গফরগাঁও থা: মা: নং-7(2)26
জি আর নং- 19/26
ধারা- 143/341/323/326/307/506(2)/104</t>
  </si>
  <si>
    <t xml:space="preserve">মোঃ জিহাদ 
পিতা- মোঃ জালাল ৥ জামাল হাওলাদার </t>
  </si>
  <si>
    <t xml:space="preserve">গ্রাম- শ্রীরামপুর 
থানা- দুমকী 
জেলা- পটুয়াখালী 
 </t>
  </si>
  <si>
    <t xml:space="preserve">পল্লবী থা: মা: নং-38(2)26
ধারা- 381 পি সি </t>
  </si>
  <si>
    <t xml:space="preserve">মোঃ শামীম 
পিতা- মোঃ সামছুল হক </t>
  </si>
  <si>
    <t xml:space="preserve">গ্রাম- টেংরা   
থানা- শ্রীপুর 
জেলা- গাজীপুর 
 </t>
  </si>
  <si>
    <t xml:space="preserve">শ্রীপুর থা: মা: নং-54(2)26
জি আর নং- 117/26
ধারা- 461/380 পি সি </t>
  </si>
  <si>
    <t xml:space="preserve">মোঃ উসমান মন্ডল 
পিতা- মোঃ সুরুজ মন্ডল </t>
  </si>
  <si>
    <t xml:space="preserve">গ্রাম- দুগুলিয়া   
থানা- ত্রিশাল 
জেলা- ময়মনসিংহ 
 </t>
  </si>
  <si>
    <t>জয়দেবপুর থা: মা: নং-26(2)26
জি আর নং- 56/26
ধারা- ২০১৮ সনের মাদকদ্রব্য নিয়ন্ত্রন আইন এর ৩৬(১) সারনির 10(ক)</t>
  </si>
  <si>
    <t xml:space="preserve">ফাকের আলী 
পিতা- ইমান আলী </t>
  </si>
  <si>
    <t xml:space="preserve">কৃষ্ণ 
পিতা- শ্রী রনজিৎ  </t>
  </si>
  <si>
    <t xml:space="preserve">গ্রাম-সিদির হামরা 
থানা- শেরপুর 
জেলা- বগুরা 
 </t>
  </si>
  <si>
    <t xml:space="preserve">হাছান তালুকদার 
পিতা- নয়ন তালুকদার </t>
  </si>
  <si>
    <t xml:space="preserve">গ্রাম-  নিকলি 
থানা- নিকলি 
জেলা- কিশোরগঞ্জ 
 </t>
  </si>
  <si>
    <t xml:space="preserve">নিকলি থা: জিডি নং- 1087
ধারা- 151 কা: বি: </t>
  </si>
  <si>
    <t xml:space="preserve">মোঃ রাকিব মোস্তাকিম 
পিতা- মমিন </t>
  </si>
  <si>
    <t xml:space="preserve">গ্রাম- পাঁচলীপারা 
থানা- কটিয়াদী 
জেলা- কিশোরগঞ্জ 
 </t>
  </si>
  <si>
    <t xml:space="preserve">কটিয়াদী থা: মা: নং-13(2)26
জি আর নং- 40/26
</t>
  </si>
  <si>
    <t xml:space="preserve">মোঃ রাকিব 
পিতা- শাহাদাত হাওলাদার </t>
  </si>
  <si>
    <t xml:space="preserve">গ্রাম- এনায়েত নগর 
থানা- কালকিনি 
জেলা- মাদারীপুর 
 </t>
  </si>
  <si>
    <t>বাসন থা: মা: নং-19(2)26
ধারা- সন্ত্রাস বিরোধী আইন 2009(সং/2013) এর 8/9(1)/9(3)/10/11/12</t>
  </si>
  <si>
    <t xml:space="preserve">মোঃ নুর হোসেন 
পিতা- নিজাম হাওলাদার </t>
  </si>
  <si>
    <t xml:space="preserve">গ্রাম- প্রসন্নপুর 
থানা- মকুন্দপুর 
জেলা- গোপালপুর 
 </t>
  </si>
  <si>
    <t>তেজগাঁও থা: মা: নং-14(9)25
ধারা- সন্ত্রাস বিরোধী আইন 2009(সং/2013) এর 6(2)এর (ক) এর (আ)((ঈ)(উ)8/9(1)(2)/10/11/12/13</t>
  </si>
  <si>
    <t xml:space="preserve">মোঃ আবু সাইদ রোমান 
পিতা- হেলাল উদ্দিন </t>
  </si>
  <si>
    <t xml:space="preserve">গ্রাম- কান্দার পারা  
থানা- জামালপুর সদর 
জেলা- জামালপুর 
 </t>
  </si>
  <si>
    <t xml:space="preserve">নাজমুল ইসলাম সিয়াম
পিতা- মোঃ মমিন উল্লা </t>
  </si>
  <si>
    <t xml:space="preserve">গ্রাম- বাট্টা 
থানা- সোনাইমুরি  
জেলা- নোয়াখালী 
 </t>
  </si>
  <si>
    <t xml:space="preserve">সোনাইমুরি থা: মা: নং-15(2)26
জি আর নং- 32/26
ধারা- 457/380 পি সি </t>
  </si>
  <si>
    <t xml:space="preserve">শিশু আদালত
নোয়াখালী </t>
  </si>
  <si>
    <t xml:space="preserve">মাহামুদুল হাসান রিজভী 
পিতা- আবুল  বাশার </t>
  </si>
  <si>
    <t xml:space="preserve">গ্রাম- রামনগর   
থানা- সদর দক্ষিন 
জেলা- কুমিল্লা 
 </t>
  </si>
  <si>
    <t xml:space="preserve">লাকসাম রেলওয়ে থা: মা: নং-1(9)24
জি আর নং- 16/24
ধারা- 302/34 পি সি </t>
  </si>
  <si>
    <t>হাছানুল হক ইভান 
পিতা- মোঃ সওয়াল</t>
  </si>
  <si>
    <t xml:space="preserve">গ্রাম-  নিকলি 
থানা- নিকলী 
জেলা- কিশোরগঞ্জ 
 </t>
  </si>
  <si>
    <t xml:space="preserve">নিকলী থা: জিডি নং-1087
ধারা- 151 কা: বি: </t>
  </si>
  <si>
    <t xml:space="preserve">মোঃ মোস্তাকিম 
পিতা- মোঃ মমিন মৃধা </t>
  </si>
  <si>
    <t xml:space="preserve">গ্রাম- দক্ষিন নাগানা 
থানা- কালিগঞ্জ 
জেলা- গাজীপুর 
 </t>
  </si>
  <si>
    <t>কালিগঞ্জ থা: মা: নং-33(2)26
ধারা- নারী  ও শিশু নির্যাতন দমন আইন ২০০০ এর 9(1)</t>
  </si>
  <si>
    <t xml:space="preserve">মোঃ নাঈম 
পিতা- আবুল হোসেন </t>
  </si>
  <si>
    <t xml:space="preserve">গ্রাম-  গুরুই 
থানা- নিকলি 
জেলা- কিশোরগঞ্জ 
 </t>
  </si>
  <si>
    <t>রামপুরা থা: মা: নং-13(09)24
জি আর নং- 167/24
ধারা- নারী  ও শিশু নির্যাতন দমন আইন ২০০০ এর 7/30</t>
  </si>
  <si>
    <t xml:space="preserve">ফারদিন শেখ 
পিতা- লিটন শেখ </t>
  </si>
  <si>
    <t xml:space="preserve">গ্রাম- দেইলবারী 
থানা- টুংগীবাড়ি 
জেলা- মুন্সিগঞ্জ 
 </t>
  </si>
  <si>
    <t>কদমতলী থা: মা: নং-22(2)26
ধারা- নারী  ও শিশু নির্যাতন দমন আইন ২০০০ এর 9(খ)</t>
  </si>
  <si>
    <t xml:space="preserve">মোঃ আসিফ 
পিতা- মোঃ মালেক </t>
  </si>
  <si>
    <t xml:space="preserve">গ্রাম- ওয়া্টার 
থানা- চকবাজার
জেলা - ঢাকা  </t>
  </si>
  <si>
    <t>চকবাজার থা: মা: নং-14(2)26
ধারা- ২০১৮ সনের মাদকদ্রব্য নিয়ন্ত্রন আইন এর ৩৬(১) সারনির 21</t>
  </si>
  <si>
    <t xml:space="preserve">মোঃ রাকিব মিয়া 
পিতা- কাউসার মিয়া </t>
  </si>
  <si>
    <t xml:space="preserve">গ্রাম- বাগবাড়ী  
থানা- ধামরাই
জেলা-ঢাকা
 </t>
  </si>
  <si>
    <t>হাজারীবাগ থা: মা: নং-37(2)26
ধারা- 143/341/323/326
/307/506/34</t>
  </si>
  <si>
    <t>মোঃ ইয়াছিন
পিতা- মোঃ ইউনুস মিয়া</t>
  </si>
  <si>
    <t xml:space="preserve">গ্রাম- পূর্ব  
থানা-  গৌরনদী 
জেলা- বরিশাল 
 </t>
  </si>
  <si>
    <t xml:space="preserve">নাঈম সরদার 
পিতা- শহিদুল সরদার </t>
  </si>
  <si>
    <t xml:space="preserve">গ্রাম-  দারিয়ান
থানা- বাকেরগঞ্জ
জেলা- বরিশাল 
 </t>
  </si>
  <si>
    <t xml:space="preserve">মোঃ কায়ছার 
পিতা- মৃত: ছৈয়দুল হক </t>
  </si>
  <si>
    <t xml:space="preserve">গ্রাম- সরকার হাট 
থানা- আনোয়ারা 
জেলা- চট্রগ্রাম 
 </t>
  </si>
  <si>
    <t>আনোয়ারা থা: মা: নং-20(1)26
জি আর নং- 20/26
ধারা- 447/323/324/325/
326/307/354/379/506</t>
  </si>
  <si>
    <t xml:space="preserve">মোঃ ইয়াছিন আরাফাত 
পিতা- মোঃ আব্দুল কাদের মামুন </t>
  </si>
  <si>
    <t xml:space="preserve">গ্রাম- ধলই  
থানা- হাটহাজারী 
জেলা- চট্রগ্রাম 
 </t>
  </si>
  <si>
    <t>চান্দগাও থা: মা: নং-32(2)26
ধারা- মানব পাচার দ: আ: 6/7/8</t>
  </si>
  <si>
    <t>মানবপাচার</t>
  </si>
  <si>
    <t xml:space="preserve">মোঃ সজিব 
পিতা- মোঃ সোহেল </t>
  </si>
  <si>
    <t xml:space="preserve">গ্রাম-  তাহের মেম্বারের বাড়ি 
থানা- কর্নফুলি 
জেলা- চট্রগ্রাম 
 </t>
  </si>
  <si>
    <t>কর্নফুলি থা: মা: নং-31(10)25
জি আর নং- 324/25
ধারা- 457/380</t>
  </si>
  <si>
    <t xml:space="preserve">মোঃ রাশেদুল 
পিতা- মৃত: মোস্তফা আলী </t>
  </si>
  <si>
    <t xml:space="preserve">গ্রাম- দক্ষিন গন্ডয়ারা 
থানা- বাশঁখালী 
জেলা- চট্রগ্রাম 
 </t>
  </si>
  <si>
    <t>বাশঁখালী থা: মা: নং-2(2)26
জি আর নং- 34/26
ধারা- 447/326/325/326/
307/379/354/506/(2)</t>
  </si>
  <si>
    <t xml:space="preserve">সৈনিক মিয়া ৥ মোঃ মনির মিয়া 
পিতা- মোঃ আব্দুর রশিদ </t>
  </si>
  <si>
    <t xml:space="preserve">গ্রাম-  কিসমত বনগ্রাম 
থানা- নান্দাইল 
জেলা- ময়মনসিংহ 
 </t>
  </si>
  <si>
    <t xml:space="preserve"> নান্দাইল থা: মা: নং-14(2)26
জি আর নং- 39/26
ধারা- 143/447/323/326/
307/506/34/114/</t>
  </si>
  <si>
    <t>মোঃ হৃদয় মিয়া
পিতা- মোঃ জামাল</t>
  </si>
  <si>
    <t>গ্রাম-সিমাইর কান্দি 
থানা-আখাউরা 
জেলা-বিঃ বাড়ীয়া</t>
  </si>
  <si>
    <t xml:space="preserve"> ২৬৬৫৬/
২৬৭৭৩</t>
  </si>
  <si>
    <t xml:space="preserve">দাউদকান্দি থা: মা: নং-৩(৫)২৪
ধারা -১৮৭৮ সালের অস্ত্র আইনের ১৯(এ)/১৯(এফ)
২)দেবিদার থা: মা: নং-১৫(২)২৪
ধারা -৩৯৭/৩৯৫ পিসি 
</t>
  </si>
  <si>
    <t>শিশু আদালতঃ২
কুমিল্লা</t>
  </si>
  <si>
    <t xml:space="preserve">শুভ চন্দ্র সরকার 
পিতা- সুকুমার চন্দ্র সরকার - </t>
  </si>
  <si>
    <t xml:space="preserve">গ্রাম-  মেধুয়া গায়েশপুর 
থানা- নান্দাইল 
জেলা- ময়মনসিংহ </t>
  </si>
  <si>
    <t xml:space="preserve"> ২৮৪০৮
</t>
  </si>
  <si>
    <t xml:space="preserve">জয়দেবপুর থা: মা: নং-৩৪(১১)২৪
ধারা- 2৯৫ এ /৩৪ </t>
  </si>
  <si>
    <t xml:space="preserve">সিনি: জুডি: ম্যাজিঃ আঃ গাজীপুর 
</t>
  </si>
  <si>
    <t xml:space="preserve">
</t>
  </si>
  <si>
    <t>মোঃ এমরান খান
তত্ত্বাবধায়ক
শিশু উন্নয়ন কেন্দ্র (বালক), টঙ্গী, গাজীপুর।
ফোন : 02-224411140
email: super.kuk.b.gazipur@dss.gov.bd</t>
  </si>
  <si>
    <r>
      <t xml:space="preserve">গণপ্রজাতন্ত্রী বাংলাদেশ সরকার
সমাজসেবা অধিদপ্তর
শিশু উন্নয়ন কেন্দ্র (বালক)
টঙ্গী, গাজীপুর।
</t>
    </r>
    <r>
      <rPr>
        <u/>
        <sz val="12"/>
        <color rgb="FF000000"/>
        <rFont val="NikoshBAN"/>
      </rPr>
      <t>বিষয়ঃ আইনের সংঘাতে জড়িত/ আইনের সংস্পর্শে আসা শিশুদের “ছক” মোতাবেক তথ্যাবলী প্রেরণ।
ছক-01</t>
    </r>
  </si>
  <si>
    <t>তারিখঃ28/02/2026 খ্রিঃ</t>
  </si>
  <si>
    <t>প্রতিষ্ঠানের নাম</t>
  </si>
  <si>
    <t>বর্তমান নিবাসীসংখ্যা</t>
  </si>
  <si>
    <t>বয়স ভিত্তিক নিবাসী সংখ্যা</t>
  </si>
  <si>
    <t>মামলার ধরন অনুযায়ী নিবাসী সংখ্যা</t>
  </si>
  <si>
    <t>বিচারাধীন/ আটকাদেশ ভিত্তিক নিবাসী সংখ্যা</t>
  </si>
  <si>
    <t>অবস্থানের সময় অনুসারে নিবাসী সংখ্যা</t>
  </si>
  <si>
    <t>আদালতের হাজিরা ভিত্তিক নিবাসী সংখ্যা</t>
  </si>
  <si>
    <t>বয়স (বছর)</t>
  </si>
  <si>
    <t>সংখ্যা</t>
  </si>
  <si>
    <t xml:space="preserve">মামলার ধরন </t>
  </si>
  <si>
    <t xml:space="preserve">বিচারাধীন/ আটকাদেশ </t>
  </si>
  <si>
    <t>অবস্থানের সময়</t>
  </si>
  <si>
    <t xml:space="preserve">আদালতের হাজিরা </t>
  </si>
  <si>
    <t>হাজিরা না করার কারণ</t>
  </si>
  <si>
    <t>শিশু উন্নয়ন কেন্দ্র (বালক)
টঙ্গী, গাজীপুর।</t>
  </si>
  <si>
    <t>9 বছরের নীচে</t>
  </si>
  <si>
    <t>বিচারাধীন</t>
  </si>
  <si>
    <t>6 মাসের নিচে</t>
  </si>
  <si>
    <t>01 বারও কোর্টে যায়নি (চলতি মাস)</t>
  </si>
  <si>
    <t>1। ফেব্রুয়ারি ,2026 মাসে নতুন আগত।
2। হাজিরার তারিখ নির্ধিরিত না থাকায়
3। পুলিশ না আসায়
4। বিলম্বে পি/ ডব্লিউ পাওয়ায়
5। কোর্ট হতে তলব না থাকায়।
6। হাজিরা নাই।</t>
  </si>
  <si>
    <t>18 বছরের উদ্ধে এবং বয়স উল্লেখ নেই শিশুদের বিষয়ে বিজ্ঞ আদালতে পত্র প্রেরণ করা হয়েছে।</t>
  </si>
  <si>
    <t>৯ বছর থেকে অনূর্ধ্ব ১০ বছর</t>
  </si>
  <si>
    <t xml:space="preserve">6 মাস - 1 বছর </t>
  </si>
  <si>
    <t>01 বার (চলতি মাস)</t>
  </si>
  <si>
    <t>১০ বছর থেকে অনূর্ধ্ব ১২ বছর</t>
  </si>
  <si>
    <t>উল্লেখ নাই</t>
  </si>
  <si>
    <t>1 বছর -2 বছর</t>
  </si>
  <si>
    <t>02 বার (চলতি মাস)</t>
  </si>
  <si>
    <t>১২ বছর থেকে অনূর্ধ্ব ১৬ বছর</t>
  </si>
  <si>
    <t>আটকাদেশ</t>
  </si>
  <si>
    <t>2 বছরের উর্দ্ধে</t>
  </si>
  <si>
    <t>১৬ বছর থেকে অনূর্ধ্ব ১৮ বছর</t>
  </si>
  <si>
    <t>অভিভাবক মামলায় বিচারাধীন</t>
  </si>
  <si>
    <t>১৮ বছরের উর্দ্ধে</t>
  </si>
  <si>
    <t>চুরি মামলা</t>
  </si>
  <si>
    <t>অভিভাবক 
মামলায় আটকাদেশ</t>
  </si>
  <si>
    <t>ডাকাতী</t>
  </si>
  <si>
    <t>তথ্য ও প্রযুক্তি / পর্নোগ্রাফি</t>
  </si>
  <si>
    <t>বিস্ফোরক দ্রব্য, বিশেষ ক্ষমতা আইন</t>
  </si>
  <si>
    <t>বি: দ্র: জানুয়ারি/26 মাসের শেষ কার্যদিবসে উপস্থিত শিশুর সংখ্যা ছিল=672 জন,   ফেব্রুয়ারি/2026 মাসে আগত শিশুর সংখ্যার =২4৪ এবং মুক্তির ( কারাগারে স্থানান্তর ও জামিনে মুক্তিসহ) সংখ্যা=232 জন,  ফেব্রুয়ারি মাসের শেষে শিশুর সংখ্যা-674 জন 
(জামিনে মুক্তিপ্রাপ্ত 232 জন সহ 906 জন শিশুর তথ্যাবলি সংযুক্ত করা হয়েছে)।</t>
  </si>
  <si>
    <t xml:space="preserve">        মোঃ এমরান খান</t>
  </si>
  <si>
    <t xml:space="preserve">         ZË¡veavqK</t>
  </si>
  <si>
    <t>email: super.kuk.b.gazipur@dss.gov.bd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</si>
</sst>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5000445]0"/>
    <numFmt numFmtId="165" formatCode="[$-5000000]dd/mm/yy"/>
  </numFmts>
  <fonts count="14" x14ac:knownFonts="1">
    <font>
      <sz val="11"/>
      <color theme="1"/>
      <name val="Calibri"/>
      <family val="2"/>
      <scheme val="minor"/>
    </font>
    <font>
      <sz val="12"/>
      <color rgb="FF000000"/>
      <name val="NikoshBAN"/>
    </font>
    <font>
      <sz val="12"/>
      <color theme="1"/>
      <name val="NikoshBAN"/>
    </font>
    <font>
      <b/>
      <sz val="12"/>
      <color theme="1"/>
      <name val="NikoshBAN"/>
    </font>
    <font>
      <sz val="12"/>
      <name val="NikoshBAN"/>
    </font>
    <font>
      <sz val="12"/>
      <color theme="1"/>
      <name val="Times New Roman"/>
      <family val="1"/>
    </font>
    <font>
      <sz val="9"/>
      <color theme="1"/>
      <name val="NikoshBAN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2"/>
      <color rgb="FF000000"/>
      <name val="NikoshBAN"/>
    </font>
    <font>
      <sz val="11"/>
      <color theme="1"/>
      <name val="NikoshBAN"/>
    </font>
    <font>
      <sz val="14"/>
      <color theme="1"/>
      <name val="NikoshBAN"/>
    </font>
    <font>
      <sz val="14"/>
      <color theme="1"/>
      <name val="SutonnyMJ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center"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14" fontId="2" fillId="0" borderId="2" xfId="0" applyNumberFormat="1" applyFont="1" applyBorder="1" applyAlignment="1">
      <alignment horizontal="center" vertical="top" wrapText="1"/>
    </xf>
    <xf numFmtId="0" fontId="2" fillId="0" borderId="0" xfId="0" applyFont="1" applyFill="1" applyBorder="1" applyAlignment="1">
      <alignment vertical="top" wrapText="1"/>
    </xf>
    <xf numFmtId="14" fontId="2" fillId="0" borderId="2" xfId="0" applyNumberFormat="1" applyFont="1" applyBorder="1" applyAlignment="1">
      <alignment horizontal="center" vertical="top"/>
    </xf>
    <xf numFmtId="165" fontId="2" fillId="0" borderId="2" xfId="0" applyNumberFormat="1" applyFont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165" fontId="2" fillId="0" borderId="2" xfId="0" applyNumberFormat="1" applyFont="1" applyBorder="1" applyAlignment="1">
      <alignment horizontal="center" vertical="top" wrapText="1"/>
    </xf>
    <xf numFmtId="0" fontId="4" fillId="0" borderId="2" xfId="0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center" vertical="top" wrapText="1"/>
    </xf>
    <xf numFmtId="14" fontId="4" fillId="0" borderId="2" xfId="0" applyNumberFormat="1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left" vertical="top" wrapText="1"/>
    </xf>
    <xf numFmtId="14" fontId="4" fillId="0" borderId="2" xfId="0" applyNumberFormat="1" applyFont="1" applyFill="1" applyBorder="1" applyAlignment="1">
      <alignment horizontal="center" vertical="top" wrapText="1"/>
    </xf>
    <xf numFmtId="0" fontId="4" fillId="0" borderId="0" xfId="0" applyFont="1" applyBorder="1" applyAlignment="1">
      <alignment vertical="top" wrapText="1"/>
    </xf>
    <xf numFmtId="0" fontId="2" fillId="0" borderId="2" xfId="0" applyFont="1" applyFill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164" fontId="1" fillId="0" borderId="3" xfId="0" applyNumberFormat="1" applyFont="1" applyBorder="1" applyAlignment="1">
      <alignment wrapText="1"/>
    </xf>
    <xf numFmtId="164" fontId="1" fillId="0" borderId="3" xfId="0" applyNumberFormat="1" applyFont="1" applyBorder="1" applyAlignment="1">
      <alignment horizontal="center" wrapText="1"/>
    </xf>
    <xf numFmtId="0" fontId="2" fillId="0" borderId="0" xfId="0" applyFont="1" applyBorder="1" applyAlignment="1">
      <alignment horizontal="left" vertical="top" wrapText="1" indent="1"/>
    </xf>
    <xf numFmtId="164" fontId="1" fillId="0" borderId="0" xfId="0" applyNumberFormat="1" applyFont="1" applyBorder="1" applyAlignment="1">
      <alignment wrapText="1"/>
    </xf>
    <xf numFmtId="164" fontId="1" fillId="0" borderId="0" xfId="0" applyNumberFormat="1" applyFont="1" applyBorder="1" applyAlignment="1">
      <alignment horizontal="center" wrapText="1"/>
    </xf>
    <xf numFmtId="164" fontId="1" fillId="0" borderId="4" xfId="0" applyNumberFormat="1" applyFont="1" applyBorder="1" applyAlignment="1">
      <alignment horizontal="center" vertical="top" wrapText="1"/>
    </xf>
    <xf numFmtId="165" fontId="2" fillId="0" borderId="0" xfId="0" applyNumberFormat="1" applyFont="1" applyBorder="1" applyAlignment="1">
      <alignment vertical="top" wrapText="1"/>
    </xf>
    <xf numFmtId="0" fontId="2" fillId="0" borderId="0" xfId="0" applyFont="1" applyBorder="1" applyAlignment="1">
      <alignment horizontal="left" vertical="top" wrapText="1"/>
    </xf>
    <xf numFmtId="14" fontId="2" fillId="0" borderId="0" xfId="0" applyNumberFormat="1" applyFont="1" applyBorder="1" applyAlignment="1">
      <alignment horizontal="center" vertical="top" wrapText="1"/>
    </xf>
    <xf numFmtId="164" fontId="1" fillId="0" borderId="0" xfId="0" applyNumberFormat="1" applyFont="1" applyFill="1" applyBorder="1" applyAlignment="1">
      <alignment horizontal="center" vertical="top" wrapText="1"/>
    </xf>
    <xf numFmtId="164" fontId="1" fillId="0" borderId="0" xfId="0" applyNumberFormat="1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vertical="center"/>
    </xf>
    <xf numFmtId="0" fontId="1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/>
    <xf numFmtId="0" fontId="10" fillId="0" borderId="3" xfId="0" applyFont="1" applyBorder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er.kuk.b.gazipur@dss.gov.bd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view="pageBreakPreview" topLeftCell="A4" zoomScaleNormal="100" zoomScaleSheetLayoutView="100" workbookViewId="0">
      <selection activeCell="I17" sqref="I17:I25"/>
    </sheetView>
  </sheetViews>
  <sheetFormatPr defaultRowHeight="15" x14ac:dyDescent="0.25"/>
  <cols>
    <col min="1" max="1" width="14" customWidth="1"/>
    <col min="2" max="2" width="7.42578125" customWidth="1"/>
    <col min="3" max="3" width="21.85546875" customWidth="1"/>
    <col min="4" max="4" width="6" customWidth="1"/>
    <col min="5" max="5" width="27" customWidth="1"/>
    <col min="7" max="7" width="17.140625" customWidth="1"/>
    <col min="8" max="8" width="6.5703125" customWidth="1"/>
    <col min="9" max="9" width="15.140625" customWidth="1"/>
    <col min="10" max="10" width="7" customWidth="1"/>
    <col min="11" max="11" width="26.85546875" customWidth="1"/>
    <col min="12" max="12" width="10.140625" customWidth="1"/>
    <col min="13" max="13" width="16" customWidth="1"/>
    <col min="14" max="14" width="15.5703125" customWidth="1"/>
  </cols>
  <sheetData>
    <row r="1" spans="1:14" ht="15" customHeight="1" x14ac:dyDescent="0.25">
      <c r="A1" s="4" t="s">
        <v>3188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5" t="s">
        <v>3189</v>
      </c>
      <c r="N1" s="45"/>
    </row>
    <row r="2" spans="1:14" ht="1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5"/>
      <c r="N2" s="45"/>
    </row>
    <row r="3" spans="1:14" ht="1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5"/>
      <c r="N3" s="45"/>
    </row>
    <row r="4" spans="1:14" ht="1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5"/>
      <c r="N4" s="45"/>
    </row>
    <row r="5" spans="1:14" ht="1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5"/>
      <c r="N5" s="45"/>
    </row>
    <row r="6" spans="1:14" ht="1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5"/>
      <c r="N6" s="45"/>
    </row>
    <row r="7" spans="1:14" ht="1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5"/>
      <c r="N7" s="45"/>
    </row>
    <row r="8" spans="1:14" ht="16.5" customHeight="1" x14ac:dyDescent="0.25">
      <c r="A8" s="46" t="s">
        <v>3190</v>
      </c>
      <c r="B8" s="7" t="s">
        <v>3191</v>
      </c>
      <c r="C8" s="7" t="s">
        <v>3192</v>
      </c>
      <c r="D8" s="7"/>
      <c r="E8" s="5" t="s">
        <v>3193</v>
      </c>
      <c r="F8" s="5"/>
      <c r="G8" s="5" t="s">
        <v>3194</v>
      </c>
      <c r="H8" s="5"/>
      <c r="I8" s="5" t="s">
        <v>3195</v>
      </c>
      <c r="J8" s="5"/>
      <c r="K8" s="5" t="s">
        <v>3196</v>
      </c>
      <c r="L8" s="5"/>
      <c r="M8" s="5"/>
      <c r="N8" s="47"/>
    </row>
    <row r="9" spans="1:14" ht="33" x14ac:dyDescent="0.25">
      <c r="A9" s="46"/>
      <c r="B9" s="7"/>
      <c r="C9" s="10" t="s">
        <v>3197</v>
      </c>
      <c r="D9" s="48" t="s">
        <v>3198</v>
      </c>
      <c r="E9" s="48" t="s">
        <v>3199</v>
      </c>
      <c r="F9" s="48" t="s">
        <v>3198</v>
      </c>
      <c r="G9" s="10" t="s">
        <v>3200</v>
      </c>
      <c r="H9" s="10" t="s">
        <v>3198</v>
      </c>
      <c r="I9" s="10" t="s">
        <v>3201</v>
      </c>
      <c r="J9" s="10" t="s">
        <v>3198</v>
      </c>
      <c r="K9" s="10" t="s">
        <v>3202</v>
      </c>
      <c r="L9" s="10" t="s">
        <v>3198</v>
      </c>
      <c r="M9" s="48" t="s">
        <v>3203</v>
      </c>
      <c r="N9" s="49" t="s">
        <v>6</v>
      </c>
    </row>
    <row r="10" spans="1:14" ht="16.5" x14ac:dyDescent="0.3">
      <c r="A10" s="50">
        <v>1</v>
      </c>
      <c r="B10" s="50">
        <v>2</v>
      </c>
      <c r="C10" s="50">
        <v>3</v>
      </c>
      <c r="D10" s="50">
        <v>4</v>
      </c>
      <c r="E10" s="50">
        <v>5</v>
      </c>
      <c r="F10" s="50">
        <v>6</v>
      </c>
      <c r="G10" s="50">
        <v>7</v>
      </c>
      <c r="H10" s="50">
        <v>8</v>
      </c>
      <c r="I10" s="50">
        <v>9</v>
      </c>
      <c r="J10" s="51">
        <v>10</v>
      </c>
      <c r="K10" s="50">
        <v>11</v>
      </c>
      <c r="L10" s="50">
        <v>12</v>
      </c>
      <c r="M10" s="50">
        <v>13</v>
      </c>
      <c r="N10" s="50">
        <v>14</v>
      </c>
    </row>
    <row r="11" spans="1:14" ht="21" customHeight="1" x14ac:dyDescent="0.25">
      <c r="A11" s="52" t="s">
        <v>3204</v>
      </c>
      <c r="B11" s="53">
        <v>674</v>
      </c>
      <c r="C11" s="51" t="s">
        <v>3205</v>
      </c>
      <c r="D11" s="54">
        <v>0</v>
      </c>
      <c r="E11" s="51" t="s">
        <v>48</v>
      </c>
      <c r="F11" s="54">
        <v>135</v>
      </c>
      <c r="G11" s="51" t="s">
        <v>3206</v>
      </c>
      <c r="H11" s="54">
        <v>670</v>
      </c>
      <c r="I11" s="51" t="s">
        <v>3207</v>
      </c>
      <c r="J11" s="51">
        <v>491</v>
      </c>
      <c r="K11" s="55" t="s">
        <v>3208</v>
      </c>
      <c r="L11" s="54">
        <v>529</v>
      </c>
      <c r="M11" s="56" t="s">
        <v>3209</v>
      </c>
      <c r="N11" s="52" t="s">
        <v>3210</v>
      </c>
    </row>
    <row r="12" spans="1:14" ht="12.75" customHeight="1" x14ac:dyDescent="0.25">
      <c r="A12" s="57"/>
      <c r="B12" s="58"/>
      <c r="C12" s="51" t="s">
        <v>3211</v>
      </c>
      <c r="D12" s="59">
        <v>0</v>
      </c>
      <c r="E12" s="51" t="s">
        <v>27</v>
      </c>
      <c r="F12" s="54">
        <v>172</v>
      </c>
      <c r="G12" s="51" t="s">
        <v>29</v>
      </c>
      <c r="H12" s="54">
        <v>4</v>
      </c>
      <c r="I12" s="51" t="s">
        <v>3212</v>
      </c>
      <c r="J12" s="51">
        <v>136</v>
      </c>
      <c r="K12" s="55" t="s">
        <v>3213</v>
      </c>
      <c r="L12" s="54">
        <v>123</v>
      </c>
      <c r="M12" s="60"/>
      <c r="N12" s="57"/>
    </row>
    <row r="13" spans="1:14" ht="15.75" customHeight="1" x14ac:dyDescent="0.25">
      <c r="A13" s="57"/>
      <c r="B13" s="58"/>
      <c r="C13" s="51" t="s">
        <v>3214</v>
      </c>
      <c r="D13" s="59">
        <v>3</v>
      </c>
      <c r="E13" s="51" t="s">
        <v>38</v>
      </c>
      <c r="F13" s="54">
        <v>52</v>
      </c>
      <c r="G13" s="51" t="s">
        <v>3215</v>
      </c>
      <c r="H13" s="54"/>
      <c r="I13" s="51" t="s">
        <v>3216</v>
      </c>
      <c r="J13" s="51">
        <v>37</v>
      </c>
      <c r="K13" s="55" t="s">
        <v>3217</v>
      </c>
      <c r="L13" s="61">
        <v>4</v>
      </c>
      <c r="M13" s="60"/>
      <c r="N13" s="57"/>
    </row>
    <row r="14" spans="1:14" ht="16.5" x14ac:dyDescent="0.25">
      <c r="A14" s="57"/>
      <c r="B14" s="58"/>
      <c r="C14" s="51" t="s">
        <v>3218</v>
      </c>
      <c r="D14" s="59">
        <v>186</v>
      </c>
      <c r="E14" s="51" t="s">
        <v>432</v>
      </c>
      <c r="F14" s="54">
        <v>7</v>
      </c>
      <c r="G14" s="51" t="s">
        <v>3219</v>
      </c>
      <c r="H14" s="54"/>
      <c r="I14" s="51" t="s">
        <v>3220</v>
      </c>
      <c r="J14" s="51">
        <v>10</v>
      </c>
      <c r="K14" s="51" t="s">
        <v>853</v>
      </c>
      <c r="L14" s="54">
        <v>18</v>
      </c>
      <c r="M14" s="60"/>
      <c r="N14" s="57"/>
    </row>
    <row r="15" spans="1:14" ht="33" x14ac:dyDescent="0.25">
      <c r="A15" s="57"/>
      <c r="B15" s="58"/>
      <c r="C15" s="51" t="s">
        <v>3221</v>
      </c>
      <c r="D15" s="59">
        <v>333</v>
      </c>
      <c r="E15" s="51" t="s">
        <v>292</v>
      </c>
      <c r="F15" s="54">
        <v>20</v>
      </c>
      <c r="G15" s="55" t="s">
        <v>3222</v>
      </c>
      <c r="H15" s="51"/>
      <c r="I15" s="51"/>
      <c r="J15" s="51"/>
      <c r="K15" s="51"/>
      <c r="L15" s="54"/>
      <c r="M15" s="60"/>
      <c r="N15" s="57"/>
    </row>
    <row r="16" spans="1:14" ht="33" x14ac:dyDescent="0.25">
      <c r="A16" s="57"/>
      <c r="B16" s="58"/>
      <c r="C16" s="51" t="s">
        <v>3223</v>
      </c>
      <c r="D16" s="54">
        <v>50</v>
      </c>
      <c r="E16" s="51" t="s">
        <v>3224</v>
      </c>
      <c r="F16" s="54">
        <v>119</v>
      </c>
      <c r="G16" s="55" t="s">
        <v>3225</v>
      </c>
      <c r="H16" s="51"/>
      <c r="I16" s="51"/>
      <c r="J16" s="51"/>
      <c r="K16" s="51"/>
      <c r="L16" s="54"/>
      <c r="M16" s="60"/>
      <c r="N16" s="57"/>
    </row>
    <row r="17" spans="1:14" ht="16.5" x14ac:dyDescent="0.25">
      <c r="A17" s="57"/>
      <c r="B17" s="58"/>
      <c r="C17" s="51" t="s">
        <v>352</v>
      </c>
      <c r="D17" s="54">
        <v>102</v>
      </c>
      <c r="E17" s="51" t="s">
        <v>964</v>
      </c>
      <c r="F17" s="54">
        <v>6</v>
      </c>
      <c r="G17" s="62"/>
      <c r="H17" s="62"/>
      <c r="I17" s="62"/>
      <c r="J17" s="62"/>
      <c r="K17" s="62"/>
      <c r="L17" s="62"/>
      <c r="M17" s="60"/>
      <c r="N17" s="57"/>
    </row>
    <row r="18" spans="1:14" ht="16.5" x14ac:dyDescent="0.25">
      <c r="A18" s="57"/>
      <c r="B18" s="58"/>
      <c r="C18" s="62"/>
      <c r="D18" s="62"/>
      <c r="E18" s="51" t="s">
        <v>196</v>
      </c>
      <c r="F18" s="54">
        <v>39</v>
      </c>
      <c r="G18" s="63"/>
      <c r="H18" s="63"/>
      <c r="I18" s="63"/>
      <c r="J18" s="63"/>
      <c r="K18" s="63"/>
      <c r="L18" s="63"/>
      <c r="M18" s="60"/>
      <c r="N18" s="57"/>
    </row>
    <row r="19" spans="1:14" ht="16.5" x14ac:dyDescent="0.25">
      <c r="A19" s="57"/>
      <c r="B19" s="58"/>
      <c r="C19" s="63"/>
      <c r="D19" s="63"/>
      <c r="E19" s="51" t="s">
        <v>1997</v>
      </c>
      <c r="F19" s="54">
        <v>3</v>
      </c>
      <c r="G19" s="63"/>
      <c r="H19" s="63"/>
      <c r="I19" s="63"/>
      <c r="J19" s="63"/>
      <c r="K19" s="63"/>
      <c r="L19" s="63"/>
      <c r="M19" s="60"/>
      <c r="N19" s="57"/>
    </row>
    <row r="20" spans="1:14" ht="16.5" x14ac:dyDescent="0.25">
      <c r="A20" s="57"/>
      <c r="B20" s="58"/>
      <c r="C20" s="63"/>
      <c r="D20" s="63"/>
      <c r="E20" s="51" t="s">
        <v>3226</v>
      </c>
      <c r="F20" s="54">
        <v>16</v>
      </c>
      <c r="G20" s="63"/>
      <c r="H20" s="63"/>
      <c r="I20" s="63"/>
      <c r="J20" s="63"/>
      <c r="K20" s="63"/>
      <c r="L20" s="63"/>
      <c r="M20" s="60"/>
      <c r="N20" s="57"/>
    </row>
    <row r="21" spans="1:14" ht="16.5" x14ac:dyDescent="0.25">
      <c r="A21" s="57"/>
      <c r="B21" s="58"/>
      <c r="C21" s="63"/>
      <c r="D21" s="63"/>
      <c r="E21" s="51" t="s">
        <v>3227</v>
      </c>
      <c r="F21" s="54">
        <v>4</v>
      </c>
      <c r="G21" s="63"/>
      <c r="H21" s="63"/>
      <c r="I21" s="63"/>
      <c r="J21" s="63"/>
      <c r="K21" s="63"/>
      <c r="L21" s="63"/>
      <c r="M21" s="60"/>
      <c r="N21" s="57"/>
    </row>
    <row r="22" spans="1:14" ht="15" customHeight="1" x14ac:dyDescent="0.25">
      <c r="A22" s="57"/>
      <c r="B22" s="58"/>
      <c r="C22" s="63"/>
      <c r="D22" s="63"/>
      <c r="E22" s="54" t="s">
        <v>3228</v>
      </c>
      <c r="F22" s="54">
        <v>20</v>
      </c>
      <c r="G22" s="63"/>
      <c r="H22" s="63"/>
      <c r="I22" s="63"/>
      <c r="J22" s="63"/>
      <c r="K22" s="63"/>
      <c r="L22" s="63"/>
      <c r="M22" s="60"/>
      <c r="N22" s="57"/>
    </row>
    <row r="23" spans="1:14" ht="16.5" x14ac:dyDescent="0.25">
      <c r="A23" s="57"/>
      <c r="B23" s="58"/>
      <c r="C23" s="63"/>
      <c r="D23" s="63"/>
      <c r="E23" s="51" t="s">
        <v>202</v>
      </c>
      <c r="F23" s="54">
        <v>54</v>
      </c>
      <c r="G23" s="63"/>
      <c r="H23" s="63"/>
      <c r="I23" s="63"/>
      <c r="J23" s="63"/>
      <c r="K23" s="63"/>
      <c r="L23" s="63"/>
      <c r="M23" s="60"/>
      <c r="N23" s="57"/>
    </row>
    <row r="24" spans="1:14" ht="16.5" x14ac:dyDescent="0.25">
      <c r="A24" s="57"/>
      <c r="B24" s="58"/>
      <c r="C24" s="63"/>
      <c r="D24" s="63"/>
      <c r="E24" s="51" t="s">
        <v>843</v>
      </c>
      <c r="F24" s="54">
        <v>26</v>
      </c>
      <c r="G24" s="63"/>
      <c r="H24" s="63"/>
      <c r="I24" s="63"/>
      <c r="J24" s="63"/>
      <c r="K24" s="63"/>
      <c r="L24" s="63"/>
      <c r="M24" s="60"/>
      <c r="N24" s="57"/>
    </row>
    <row r="25" spans="1:14" ht="16.5" x14ac:dyDescent="0.25">
      <c r="A25" s="57"/>
      <c r="B25" s="58"/>
      <c r="C25" s="63"/>
      <c r="D25" s="63"/>
      <c r="E25" s="51" t="s">
        <v>2149</v>
      </c>
      <c r="F25" s="54">
        <v>1</v>
      </c>
      <c r="G25" s="63"/>
      <c r="H25" s="63"/>
      <c r="I25" s="63"/>
      <c r="J25" s="63"/>
      <c r="K25" s="63"/>
      <c r="L25" s="63"/>
      <c r="M25" s="60"/>
      <c r="N25" s="57"/>
    </row>
    <row r="26" spans="1:14" ht="16.5" x14ac:dyDescent="0.3">
      <c r="A26" s="64"/>
      <c r="B26" s="50">
        <f>SUM(B11)</f>
        <v>674</v>
      </c>
      <c r="C26" s="64"/>
      <c r="D26" s="50">
        <f>SUM(D11:D25)</f>
        <v>674</v>
      </c>
      <c r="E26" s="50"/>
      <c r="F26" s="50">
        <f>SUM(F11:F25)</f>
        <v>674</v>
      </c>
      <c r="G26" s="50"/>
      <c r="H26" s="50">
        <f>SUM(H11:H25)</f>
        <v>674</v>
      </c>
      <c r="I26" s="50"/>
      <c r="J26" s="50">
        <f>SUM(J11:J25)</f>
        <v>674</v>
      </c>
      <c r="K26" s="50"/>
      <c r="L26" s="50">
        <f>SUM(L11:L25)</f>
        <v>674</v>
      </c>
      <c r="M26" s="64"/>
      <c r="N26" s="64"/>
    </row>
    <row r="27" spans="1:14" ht="40.5" customHeight="1" x14ac:dyDescent="0.25">
      <c r="A27" s="65" t="s">
        <v>3229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9" spans="1:14" ht="15" customHeight="1" x14ac:dyDescent="0.25">
      <c r="K29" s="66" t="s">
        <v>3230</v>
      </c>
      <c r="L29" s="66"/>
      <c r="M29" s="66"/>
      <c r="N29" s="66"/>
    </row>
    <row r="30" spans="1:14" ht="15" customHeight="1" x14ac:dyDescent="0.25">
      <c r="K30" s="67" t="s">
        <v>3231</v>
      </c>
      <c r="L30" s="67"/>
      <c r="M30" s="67"/>
      <c r="N30" s="67"/>
    </row>
    <row r="31" spans="1:14" x14ac:dyDescent="0.25">
      <c r="K31" s="68" t="s">
        <v>3232</v>
      </c>
      <c r="L31" s="68"/>
      <c r="M31" s="68"/>
      <c r="N31" s="68"/>
    </row>
  </sheetData>
  <mergeCells count="25">
    <mergeCell ref="C18:C25"/>
    <mergeCell ref="D18:D25"/>
    <mergeCell ref="A27:N27"/>
    <mergeCell ref="K29:N29"/>
    <mergeCell ref="K30:N30"/>
    <mergeCell ref="K31:N31"/>
    <mergeCell ref="A11:A25"/>
    <mergeCell ref="B11:B25"/>
    <mergeCell ref="M11:M25"/>
    <mergeCell ref="N11:N25"/>
    <mergeCell ref="G17:G25"/>
    <mergeCell ref="H17:H25"/>
    <mergeCell ref="I17:I25"/>
    <mergeCell ref="J17:J25"/>
    <mergeCell ref="K17:K25"/>
    <mergeCell ref="L17:L25"/>
    <mergeCell ref="A1:L7"/>
    <mergeCell ref="M1:N7"/>
    <mergeCell ref="A8:A9"/>
    <mergeCell ref="B8:B9"/>
    <mergeCell ref="C8:D8"/>
    <mergeCell ref="E8:F8"/>
    <mergeCell ref="G8:H8"/>
    <mergeCell ref="I8:J8"/>
    <mergeCell ref="K8:M8"/>
  </mergeCells>
  <hyperlinks>
    <hyperlink ref="K31" r:id="rId1" display="mailto:super.kuk.b.gazipur@dss.gov.bd"/>
  </hyperlinks>
  <printOptions horizontalCentered="1"/>
  <pageMargins left="0.25" right="0.25" top="0.75" bottom="0.75" header="0.3" footer="0.3"/>
  <pageSetup paperSize="5" scale="85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345"/>
  <sheetViews>
    <sheetView view="pageBreakPreview" zoomScaleNormal="100" zoomScaleSheetLayoutView="100" workbookViewId="0">
      <selection activeCell="Q846" sqref="Q846"/>
    </sheetView>
  </sheetViews>
  <sheetFormatPr defaultRowHeight="16.5" x14ac:dyDescent="0.25"/>
  <cols>
    <col min="1" max="1" width="7.7109375" style="2" customWidth="1"/>
    <col min="2" max="2" width="18.7109375" style="2" customWidth="1"/>
    <col min="3" max="3" width="8" style="12" customWidth="1"/>
    <col min="4" max="4" width="19" style="2" customWidth="1"/>
    <col min="5" max="5" width="21" style="2" customWidth="1"/>
    <col min="6" max="6" width="10.140625" style="12" customWidth="1"/>
    <col min="7" max="7" width="11.42578125" style="2" customWidth="1"/>
    <col min="8" max="8" width="36.140625" style="2" customWidth="1"/>
    <col min="9" max="9" width="8.85546875" style="2" customWidth="1"/>
    <col min="10" max="10" width="13.140625" style="2" customWidth="1"/>
    <col min="11" max="11" width="14.85546875" style="2" customWidth="1"/>
    <col min="12" max="12" width="10.42578125" style="2" customWidth="1"/>
    <col min="13" max="13" width="6" style="2" customWidth="1"/>
    <col min="14" max="14" width="23.42578125" style="2" customWidth="1"/>
    <col min="15" max="15" width="9.7109375" style="2" customWidth="1"/>
    <col min="16" max="16" width="26.85546875" style="2" customWidth="1"/>
    <col min="17" max="17" width="10.85546875" style="2" customWidth="1"/>
    <col min="18" max="16384" width="9.140625" style="2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6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6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6.5" customHeight="1" x14ac:dyDescent="0.25">
      <c r="A7" s="4" t="s">
        <v>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5">
      <c r="A8" s="5" t="s">
        <v>2</v>
      </c>
      <c r="B8" s="5" t="s">
        <v>3</v>
      </c>
      <c r="C8" s="5"/>
      <c r="D8" s="5"/>
      <c r="E8" s="5"/>
      <c r="F8" s="5"/>
      <c r="G8" s="6"/>
      <c r="H8" s="5" t="s">
        <v>4</v>
      </c>
      <c r="I8" s="5"/>
      <c r="J8" s="5"/>
      <c r="K8" s="5"/>
      <c r="L8" s="5"/>
      <c r="M8" s="5" t="s">
        <v>5</v>
      </c>
      <c r="N8" s="5"/>
      <c r="O8" s="5"/>
      <c r="P8" s="5"/>
      <c r="Q8" s="6" t="s">
        <v>6</v>
      </c>
    </row>
    <row r="9" spans="1:17" x14ac:dyDescent="0.25">
      <c r="A9" s="5"/>
      <c r="B9" s="7" t="s">
        <v>7</v>
      </c>
      <c r="C9" s="7" t="s">
        <v>8</v>
      </c>
      <c r="D9" s="7"/>
      <c r="E9" s="7" t="s">
        <v>9</v>
      </c>
      <c r="F9" s="5" t="s">
        <v>10</v>
      </c>
      <c r="G9" s="5" t="s">
        <v>11</v>
      </c>
      <c r="H9" s="5" t="s">
        <v>12</v>
      </c>
      <c r="I9" s="5" t="s">
        <v>13</v>
      </c>
      <c r="J9" s="5" t="s">
        <v>14</v>
      </c>
      <c r="K9" s="5" t="s">
        <v>15</v>
      </c>
      <c r="L9" s="5" t="s">
        <v>16</v>
      </c>
      <c r="M9" s="5" t="s">
        <v>17</v>
      </c>
      <c r="N9" s="5"/>
      <c r="O9" s="8" t="s">
        <v>18</v>
      </c>
      <c r="P9" s="5" t="s">
        <v>19</v>
      </c>
      <c r="Q9" s="7"/>
    </row>
    <row r="10" spans="1:17" ht="82.5" x14ac:dyDescent="0.25">
      <c r="A10" s="5"/>
      <c r="B10" s="7"/>
      <c r="C10" s="9" t="s">
        <v>20</v>
      </c>
      <c r="D10" s="10" t="s">
        <v>21</v>
      </c>
      <c r="E10" s="7"/>
      <c r="F10" s="5"/>
      <c r="G10" s="5"/>
      <c r="H10" s="5"/>
      <c r="I10" s="5"/>
      <c r="J10" s="5"/>
      <c r="K10" s="5"/>
      <c r="L10" s="5"/>
      <c r="M10" s="10" t="s">
        <v>22</v>
      </c>
      <c r="N10" s="10" t="s">
        <v>23</v>
      </c>
      <c r="O10" s="8"/>
      <c r="P10" s="5"/>
      <c r="Q10" s="7"/>
    </row>
    <row r="11" spans="1:17" s="12" customFormat="1" x14ac:dyDescent="0.25">
      <c r="A11" s="9">
        <v>1</v>
      </c>
      <c r="B11" s="9">
        <v>2</v>
      </c>
      <c r="C11" s="9">
        <v>3</v>
      </c>
      <c r="D11" s="9">
        <v>4</v>
      </c>
      <c r="E11" s="9">
        <v>5</v>
      </c>
      <c r="F11" s="9">
        <v>6</v>
      </c>
      <c r="G11" s="9"/>
      <c r="H11" s="9">
        <v>7</v>
      </c>
      <c r="I11" s="9">
        <v>8</v>
      </c>
      <c r="J11" s="9">
        <v>9</v>
      </c>
      <c r="K11" s="9">
        <v>10</v>
      </c>
      <c r="L11" s="9">
        <v>11</v>
      </c>
      <c r="M11" s="9">
        <v>12</v>
      </c>
      <c r="N11" s="9">
        <v>13</v>
      </c>
      <c r="O11" s="11">
        <v>14</v>
      </c>
      <c r="P11" s="9">
        <v>15</v>
      </c>
      <c r="Q11" s="9">
        <v>16</v>
      </c>
    </row>
    <row r="12" spans="1:17" ht="82.5" x14ac:dyDescent="0.25">
      <c r="A12" s="13">
        <v>1</v>
      </c>
      <c r="B12" s="11" t="s">
        <v>24</v>
      </c>
      <c r="C12" s="14">
        <v>15</v>
      </c>
      <c r="D12" s="11" t="str">
        <f t="shared" ref="D12:D75" ca="1" si="0">C12+DATEDIF(G12,TODAY(),"y")&amp;" "&amp;"বছর"&amp;" "&amp;DATEDIF(G12,TODAY(),"ym")&amp;" "&amp;"মাস"&amp;" "&amp;DATEDIF(G12,TODAY(),"md")&amp;" "&amp;"দিন"</f>
        <v>15 বছর 7 মাস 19 দিন</v>
      </c>
      <c r="E12" s="11" t="s">
        <v>25</v>
      </c>
      <c r="F12" s="9">
        <v>552</v>
      </c>
      <c r="G12" s="15">
        <v>45897</v>
      </c>
      <c r="H12" s="11" t="s">
        <v>26</v>
      </c>
      <c r="I12" s="9" t="s">
        <v>27</v>
      </c>
      <c r="J12" s="11" t="s">
        <v>28</v>
      </c>
      <c r="K12" s="11" t="s">
        <v>29</v>
      </c>
      <c r="L12" s="11"/>
      <c r="M12" s="9"/>
      <c r="N12" s="9" t="s">
        <v>30</v>
      </c>
      <c r="O12" s="11" t="s">
        <v>31</v>
      </c>
      <c r="P12" s="11" t="s">
        <v>32</v>
      </c>
      <c r="Q12" s="11"/>
    </row>
    <row r="13" spans="1:17" ht="82.5" x14ac:dyDescent="0.25">
      <c r="A13" s="13">
        <v>2</v>
      </c>
      <c r="B13" s="11" t="s">
        <v>33</v>
      </c>
      <c r="C13" s="9">
        <v>17</v>
      </c>
      <c r="D13" s="11" t="str">
        <f t="shared" ca="1" si="0"/>
        <v>17 বছর 7 মাস 19 দিন</v>
      </c>
      <c r="E13" s="11" t="s">
        <v>25</v>
      </c>
      <c r="F13" s="9">
        <v>553</v>
      </c>
      <c r="G13" s="15">
        <v>45897</v>
      </c>
      <c r="H13" s="11" t="s">
        <v>26</v>
      </c>
      <c r="I13" s="9" t="s">
        <v>27</v>
      </c>
      <c r="J13" s="11" t="s">
        <v>28</v>
      </c>
      <c r="K13" s="11" t="s">
        <v>29</v>
      </c>
      <c r="L13" s="15"/>
      <c r="M13" s="9"/>
      <c r="N13" s="9" t="s">
        <v>30</v>
      </c>
      <c r="O13" s="11" t="s">
        <v>34</v>
      </c>
      <c r="P13" s="11" t="s">
        <v>32</v>
      </c>
      <c r="Q13" s="11"/>
    </row>
    <row r="14" spans="1:17" ht="91.5" customHeight="1" x14ac:dyDescent="0.25">
      <c r="A14" s="13">
        <v>3</v>
      </c>
      <c r="B14" s="11" t="s">
        <v>35</v>
      </c>
      <c r="C14" s="9"/>
      <c r="D14" s="11" t="str">
        <f t="shared" ca="1" si="0"/>
        <v>0 বছর 2 মাস 15 দিন</v>
      </c>
      <c r="E14" s="11" t="s">
        <v>36</v>
      </c>
      <c r="F14" s="9">
        <v>555</v>
      </c>
      <c r="G14" s="15">
        <v>46054</v>
      </c>
      <c r="H14" s="11" t="s">
        <v>37</v>
      </c>
      <c r="I14" s="9" t="s">
        <v>38</v>
      </c>
      <c r="J14" s="11" t="s">
        <v>39</v>
      </c>
      <c r="K14" s="11" t="s">
        <v>29</v>
      </c>
      <c r="L14" s="15"/>
      <c r="M14" s="9"/>
      <c r="N14" s="9" t="s">
        <v>30</v>
      </c>
      <c r="O14" s="11" t="s">
        <v>31</v>
      </c>
      <c r="P14" s="9" t="s">
        <v>40</v>
      </c>
      <c r="Q14" s="11"/>
    </row>
    <row r="15" spans="1:17" ht="49.5" x14ac:dyDescent="0.25">
      <c r="A15" s="13">
        <v>4</v>
      </c>
      <c r="B15" s="11" t="s">
        <v>41</v>
      </c>
      <c r="C15" s="9">
        <v>16</v>
      </c>
      <c r="D15" s="11" t="str">
        <f t="shared" ca="1" si="0"/>
        <v>16 বছর 1 মাস 28 দিন</v>
      </c>
      <c r="E15" s="11" t="s">
        <v>42</v>
      </c>
      <c r="F15" s="9">
        <v>556</v>
      </c>
      <c r="G15" s="15">
        <v>46072</v>
      </c>
      <c r="H15" s="11" t="s">
        <v>43</v>
      </c>
      <c r="I15" s="9" t="s">
        <v>38</v>
      </c>
      <c r="J15" s="11" t="s">
        <v>44</v>
      </c>
      <c r="K15" s="11" t="s">
        <v>29</v>
      </c>
      <c r="L15" s="15"/>
      <c r="M15" s="9"/>
      <c r="N15" s="9" t="s">
        <v>30</v>
      </c>
      <c r="O15" s="11" t="s">
        <v>34</v>
      </c>
      <c r="P15" s="11" t="s">
        <v>32</v>
      </c>
      <c r="Q15" s="11"/>
    </row>
    <row r="16" spans="1:17" s="18" customFormat="1" ht="66" x14ac:dyDescent="0.25">
      <c r="A16" s="13">
        <v>5</v>
      </c>
      <c r="B16" s="16" t="s">
        <v>45</v>
      </c>
      <c r="C16" s="14">
        <v>15</v>
      </c>
      <c r="D16" s="11" t="str">
        <f t="shared" ca="1" si="0"/>
        <v>18 বছর 10 মাস 30 দিন</v>
      </c>
      <c r="E16" s="16" t="s">
        <v>46</v>
      </c>
      <c r="F16" s="9">
        <v>20161</v>
      </c>
      <c r="G16" s="17">
        <v>44698</v>
      </c>
      <c r="H16" s="16" t="s">
        <v>47</v>
      </c>
      <c r="I16" s="9" t="s">
        <v>48</v>
      </c>
      <c r="J16" s="16" t="s">
        <v>49</v>
      </c>
      <c r="K16" s="16" t="s">
        <v>50</v>
      </c>
      <c r="L16" s="17">
        <v>44721</v>
      </c>
      <c r="M16" s="9"/>
      <c r="N16" s="9" t="s">
        <v>30</v>
      </c>
      <c r="O16" s="11" t="s">
        <v>51</v>
      </c>
      <c r="P16" s="9" t="s">
        <v>52</v>
      </c>
      <c r="Q16" s="11"/>
    </row>
    <row r="17" spans="1:17" ht="66" x14ac:dyDescent="0.25">
      <c r="A17" s="13">
        <v>6</v>
      </c>
      <c r="B17" s="16" t="s">
        <v>53</v>
      </c>
      <c r="C17" s="14">
        <v>15</v>
      </c>
      <c r="D17" s="11" t="str">
        <f t="shared" ca="1" si="0"/>
        <v>16 বছর 1 মাস 8 দিন</v>
      </c>
      <c r="E17" s="11" t="s">
        <v>54</v>
      </c>
      <c r="F17" s="14">
        <v>23130</v>
      </c>
      <c r="G17" s="17">
        <v>45724</v>
      </c>
      <c r="H17" s="11" t="s">
        <v>55</v>
      </c>
      <c r="I17" s="11" t="s">
        <v>38</v>
      </c>
      <c r="J17" s="11" t="s">
        <v>56</v>
      </c>
      <c r="K17" s="16" t="s">
        <v>50</v>
      </c>
      <c r="L17" s="15">
        <v>45936</v>
      </c>
      <c r="M17" s="9"/>
      <c r="N17" s="9" t="s">
        <v>30</v>
      </c>
      <c r="O17" s="11" t="s">
        <v>31</v>
      </c>
      <c r="P17" s="11" t="s">
        <v>57</v>
      </c>
      <c r="Q17" s="11"/>
    </row>
    <row r="18" spans="1:17" s="18" customFormat="1" ht="66" x14ac:dyDescent="0.25">
      <c r="A18" s="13">
        <v>7</v>
      </c>
      <c r="B18" s="16" t="s">
        <v>58</v>
      </c>
      <c r="C18" s="14">
        <v>15</v>
      </c>
      <c r="D18" s="11" t="str">
        <f t="shared" ca="1" si="0"/>
        <v>18 বছর 0 মাস 26 দিন</v>
      </c>
      <c r="E18" s="16" t="s">
        <v>59</v>
      </c>
      <c r="F18" s="9">
        <v>23236</v>
      </c>
      <c r="G18" s="17">
        <v>45006</v>
      </c>
      <c r="H18" s="16" t="s">
        <v>60</v>
      </c>
      <c r="I18" s="9" t="s">
        <v>48</v>
      </c>
      <c r="J18" s="16" t="s">
        <v>61</v>
      </c>
      <c r="K18" s="16" t="s">
        <v>50</v>
      </c>
      <c r="L18" s="17">
        <v>45965</v>
      </c>
      <c r="M18" s="9"/>
      <c r="N18" s="9" t="s">
        <v>62</v>
      </c>
      <c r="O18" s="11" t="s">
        <v>51</v>
      </c>
      <c r="P18" s="16" t="s">
        <v>63</v>
      </c>
      <c r="Q18" s="11"/>
    </row>
    <row r="19" spans="1:17" ht="66" x14ac:dyDescent="0.25">
      <c r="A19" s="13">
        <v>8</v>
      </c>
      <c r="B19" s="16" t="s">
        <v>64</v>
      </c>
      <c r="C19" s="9">
        <v>14</v>
      </c>
      <c r="D19" s="9" t="str">
        <f t="shared" ca="1" si="0"/>
        <v>16 বছর 9 মাস 6 দিন</v>
      </c>
      <c r="E19" s="16" t="s">
        <v>65</v>
      </c>
      <c r="F19" s="9">
        <v>24236</v>
      </c>
      <c r="G19" s="19">
        <v>45117</v>
      </c>
      <c r="H19" s="16" t="s">
        <v>66</v>
      </c>
      <c r="I19" s="9" t="s">
        <v>48</v>
      </c>
      <c r="J19" s="16" t="s">
        <v>67</v>
      </c>
      <c r="K19" s="16" t="s">
        <v>50</v>
      </c>
      <c r="L19" s="17">
        <v>45132</v>
      </c>
      <c r="M19" s="9"/>
      <c r="N19" s="9" t="s">
        <v>68</v>
      </c>
      <c r="O19" s="11" t="s">
        <v>31</v>
      </c>
      <c r="P19" s="9" t="s">
        <v>69</v>
      </c>
      <c r="Q19" s="11"/>
    </row>
    <row r="20" spans="1:17" ht="82.5" x14ac:dyDescent="0.25">
      <c r="A20" s="13">
        <v>9</v>
      </c>
      <c r="B20" s="16" t="s">
        <v>70</v>
      </c>
      <c r="C20" s="9">
        <v>14</v>
      </c>
      <c r="D20" s="9" t="str">
        <f t="shared" ca="1" si="0"/>
        <v>16 বছর 8 মাস 24 দিন</v>
      </c>
      <c r="E20" s="16" t="s">
        <v>71</v>
      </c>
      <c r="F20" s="9">
        <v>24356</v>
      </c>
      <c r="G20" s="19">
        <v>45130</v>
      </c>
      <c r="H20" s="16" t="s">
        <v>72</v>
      </c>
      <c r="I20" s="9" t="s">
        <v>48</v>
      </c>
      <c r="J20" s="16" t="s">
        <v>73</v>
      </c>
      <c r="K20" s="16" t="s">
        <v>74</v>
      </c>
      <c r="L20" s="17">
        <v>45937</v>
      </c>
      <c r="M20" s="9"/>
      <c r="N20" s="9" t="s">
        <v>75</v>
      </c>
      <c r="O20" s="11" t="s">
        <v>31</v>
      </c>
      <c r="P20" s="16" t="s">
        <v>76</v>
      </c>
      <c r="Q20" s="11"/>
    </row>
    <row r="21" spans="1:17" s="18" customFormat="1" ht="66" x14ac:dyDescent="0.25">
      <c r="A21" s="13">
        <v>10</v>
      </c>
      <c r="B21" s="16" t="s">
        <v>77</v>
      </c>
      <c r="C21" s="9">
        <v>16</v>
      </c>
      <c r="D21" s="9" t="str">
        <f t="shared" ca="1" si="0"/>
        <v>18 বছর 8 মাস 24 দিন</v>
      </c>
      <c r="E21" s="16" t="s">
        <v>78</v>
      </c>
      <c r="F21" s="9">
        <v>24357</v>
      </c>
      <c r="G21" s="19">
        <v>45130</v>
      </c>
      <c r="H21" s="16" t="s">
        <v>79</v>
      </c>
      <c r="I21" s="9" t="s">
        <v>48</v>
      </c>
      <c r="J21" s="16" t="s">
        <v>73</v>
      </c>
      <c r="K21" s="16" t="s">
        <v>50</v>
      </c>
      <c r="L21" s="17">
        <v>45937</v>
      </c>
      <c r="M21" s="9"/>
      <c r="N21" s="9" t="s">
        <v>80</v>
      </c>
      <c r="O21" s="11" t="s">
        <v>34</v>
      </c>
      <c r="P21" s="16" t="s">
        <v>81</v>
      </c>
      <c r="Q21" s="11" t="s">
        <v>82</v>
      </c>
    </row>
    <row r="22" spans="1:17" ht="66" x14ac:dyDescent="0.25">
      <c r="A22" s="13">
        <v>11</v>
      </c>
      <c r="B22" s="16" t="s">
        <v>83</v>
      </c>
      <c r="C22" s="9">
        <v>14</v>
      </c>
      <c r="D22" s="11" t="str">
        <f t="shared" ca="1" si="0"/>
        <v>16 বছর 6 মাস 29 দিন</v>
      </c>
      <c r="E22" s="16" t="s">
        <v>84</v>
      </c>
      <c r="F22" s="9">
        <v>24919</v>
      </c>
      <c r="G22" s="17">
        <v>45187</v>
      </c>
      <c r="H22" s="16" t="s">
        <v>85</v>
      </c>
      <c r="I22" s="9" t="s">
        <v>27</v>
      </c>
      <c r="J22" s="16" t="s">
        <v>86</v>
      </c>
      <c r="K22" s="16" t="s">
        <v>50</v>
      </c>
      <c r="L22" s="17">
        <v>45876</v>
      </c>
      <c r="M22" s="9"/>
      <c r="N22" s="9" t="s">
        <v>87</v>
      </c>
      <c r="O22" s="11" t="s">
        <v>31</v>
      </c>
      <c r="P22" s="9" t="s">
        <v>88</v>
      </c>
      <c r="Q22" s="11"/>
    </row>
    <row r="23" spans="1:17" ht="66" x14ac:dyDescent="0.25">
      <c r="A23" s="13">
        <v>12</v>
      </c>
      <c r="B23" s="16" t="s">
        <v>89</v>
      </c>
      <c r="C23" s="9">
        <v>13</v>
      </c>
      <c r="D23" s="11" t="str">
        <f t="shared" ca="1" si="0"/>
        <v>15 বছর 6 মাস 22 দিন</v>
      </c>
      <c r="E23" s="16" t="s">
        <v>90</v>
      </c>
      <c r="F23" s="9">
        <v>24981</v>
      </c>
      <c r="G23" s="17">
        <v>45194</v>
      </c>
      <c r="H23" s="16" t="s">
        <v>91</v>
      </c>
      <c r="I23" s="9" t="s">
        <v>27</v>
      </c>
      <c r="J23" s="16" t="s">
        <v>92</v>
      </c>
      <c r="K23" s="16" t="s">
        <v>50</v>
      </c>
      <c r="L23" s="17">
        <v>45785</v>
      </c>
      <c r="M23" s="9"/>
      <c r="N23" s="9" t="s">
        <v>93</v>
      </c>
      <c r="O23" s="11" t="s">
        <v>31</v>
      </c>
      <c r="P23" s="9" t="s">
        <v>94</v>
      </c>
      <c r="Q23" s="11"/>
    </row>
    <row r="24" spans="1:17" ht="66" x14ac:dyDescent="0.25">
      <c r="A24" s="13">
        <v>13</v>
      </c>
      <c r="B24" s="16" t="s">
        <v>95</v>
      </c>
      <c r="C24" s="14">
        <v>15</v>
      </c>
      <c r="D24" s="11" t="str">
        <f t="shared" ca="1" si="0"/>
        <v>17 বছর 5 মাস 30 দিন</v>
      </c>
      <c r="E24" s="16" t="s">
        <v>96</v>
      </c>
      <c r="F24" s="9">
        <v>25195</v>
      </c>
      <c r="G24" s="19">
        <v>45216</v>
      </c>
      <c r="H24" s="16" t="s">
        <v>97</v>
      </c>
      <c r="I24" s="9" t="s">
        <v>48</v>
      </c>
      <c r="J24" s="16" t="s">
        <v>98</v>
      </c>
      <c r="K24" s="16" t="s">
        <v>50</v>
      </c>
      <c r="L24" s="17">
        <v>45243</v>
      </c>
      <c r="M24" s="9"/>
      <c r="N24" s="9" t="s">
        <v>99</v>
      </c>
      <c r="O24" s="11" t="s">
        <v>100</v>
      </c>
      <c r="P24" s="9" t="s">
        <v>101</v>
      </c>
      <c r="Q24" s="11"/>
    </row>
    <row r="25" spans="1:17" ht="66" x14ac:dyDescent="0.25">
      <c r="A25" s="13">
        <v>14</v>
      </c>
      <c r="B25" s="16" t="s">
        <v>102</v>
      </c>
      <c r="C25" s="14">
        <v>15</v>
      </c>
      <c r="D25" s="11" t="str">
        <f t="shared" ca="1" si="0"/>
        <v>17 বছর 4 মাস 22 দিন</v>
      </c>
      <c r="E25" s="16" t="s">
        <v>103</v>
      </c>
      <c r="F25" s="9">
        <v>25402</v>
      </c>
      <c r="G25" s="17">
        <v>45255</v>
      </c>
      <c r="H25" s="16" t="s">
        <v>104</v>
      </c>
      <c r="I25" s="9" t="s">
        <v>27</v>
      </c>
      <c r="J25" s="16" t="s">
        <v>105</v>
      </c>
      <c r="K25" s="16" t="s">
        <v>50</v>
      </c>
      <c r="L25" s="17">
        <v>45897</v>
      </c>
      <c r="M25" s="9"/>
      <c r="N25" s="9" t="s">
        <v>87</v>
      </c>
      <c r="O25" s="11" t="s">
        <v>100</v>
      </c>
      <c r="P25" s="9" t="s">
        <v>40</v>
      </c>
      <c r="Q25" s="11"/>
    </row>
    <row r="26" spans="1:17" ht="66" x14ac:dyDescent="0.25">
      <c r="A26" s="13">
        <v>15</v>
      </c>
      <c r="B26" s="16" t="s">
        <v>106</v>
      </c>
      <c r="C26" s="9">
        <v>16</v>
      </c>
      <c r="D26" s="11" t="str">
        <f t="shared" ca="1" si="0"/>
        <v>18 বছর 3 মাস 26 দিন</v>
      </c>
      <c r="E26" s="16" t="s">
        <v>107</v>
      </c>
      <c r="F26" s="9">
        <v>25544</v>
      </c>
      <c r="G26" s="17">
        <v>45281</v>
      </c>
      <c r="H26" s="16" t="s">
        <v>108</v>
      </c>
      <c r="I26" s="9" t="s">
        <v>27</v>
      </c>
      <c r="J26" s="16" t="s">
        <v>109</v>
      </c>
      <c r="K26" s="16" t="s">
        <v>50</v>
      </c>
      <c r="L26" s="17">
        <v>45938</v>
      </c>
      <c r="M26" s="9"/>
      <c r="N26" s="9" t="s">
        <v>87</v>
      </c>
      <c r="O26" s="11" t="s">
        <v>110</v>
      </c>
      <c r="P26" s="9" t="s">
        <v>111</v>
      </c>
      <c r="Q26" s="11"/>
    </row>
    <row r="27" spans="1:17" s="18" customFormat="1" ht="66" x14ac:dyDescent="0.25">
      <c r="A27" s="13">
        <v>16</v>
      </c>
      <c r="B27" s="16" t="s">
        <v>112</v>
      </c>
      <c r="C27" s="9">
        <v>11</v>
      </c>
      <c r="D27" s="11" t="str">
        <f t="shared" ca="1" si="0"/>
        <v>13 বছর 3 মাস 6 দিন</v>
      </c>
      <c r="E27" s="16" t="s">
        <v>113</v>
      </c>
      <c r="F27" s="9">
        <v>25664</v>
      </c>
      <c r="G27" s="17">
        <v>45301</v>
      </c>
      <c r="H27" s="16" t="s">
        <v>114</v>
      </c>
      <c r="I27" s="9" t="s">
        <v>27</v>
      </c>
      <c r="J27" s="16" t="s">
        <v>115</v>
      </c>
      <c r="K27" s="16" t="s">
        <v>50</v>
      </c>
      <c r="L27" s="17">
        <v>45321</v>
      </c>
      <c r="M27" s="9"/>
      <c r="N27" s="9" t="s">
        <v>62</v>
      </c>
      <c r="O27" s="11" t="s">
        <v>31</v>
      </c>
      <c r="P27" s="9" t="s">
        <v>52</v>
      </c>
      <c r="Q27" s="11"/>
    </row>
    <row r="28" spans="1:17" ht="66" x14ac:dyDescent="0.25">
      <c r="A28" s="13">
        <v>17</v>
      </c>
      <c r="B28" s="16" t="s">
        <v>116</v>
      </c>
      <c r="C28" s="14">
        <v>15</v>
      </c>
      <c r="D28" s="11" t="str">
        <f t="shared" ca="1" si="0"/>
        <v>17 বছর 1 মাস 8 দিন</v>
      </c>
      <c r="E28" s="16" t="s">
        <v>117</v>
      </c>
      <c r="F28" s="9">
        <v>26142</v>
      </c>
      <c r="G28" s="19">
        <v>45359</v>
      </c>
      <c r="H28" s="16" t="s">
        <v>118</v>
      </c>
      <c r="I28" s="9" t="s">
        <v>48</v>
      </c>
      <c r="J28" s="16" t="s">
        <v>119</v>
      </c>
      <c r="K28" s="16" t="s">
        <v>50</v>
      </c>
      <c r="L28" s="17">
        <v>45940</v>
      </c>
      <c r="M28" s="9"/>
      <c r="N28" s="9" t="s">
        <v>30</v>
      </c>
      <c r="O28" s="11" t="s">
        <v>31</v>
      </c>
      <c r="P28" s="9" t="s">
        <v>120</v>
      </c>
      <c r="Q28" s="11"/>
    </row>
    <row r="29" spans="1:17" ht="66" x14ac:dyDescent="0.25">
      <c r="A29" s="13">
        <v>18</v>
      </c>
      <c r="B29" s="16" t="s">
        <v>121</v>
      </c>
      <c r="C29" s="14">
        <v>15</v>
      </c>
      <c r="D29" s="11" t="str">
        <f t="shared" ca="1" si="0"/>
        <v>17 বছর 1 মাস 6 দিন</v>
      </c>
      <c r="E29" s="16" t="s">
        <v>122</v>
      </c>
      <c r="F29" s="9">
        <v>26161</v>
      </c>
      <c r="G29" s="19">
        <v>45361</v>
      </c>
      <c r="H29" s="16" t="s">
        <v>123</v>
      </c>
      <c r="I29" s="9" t="s">
        <v>48</v>
      </c>
      <c r="J29" s="16" t="s">
        <v>124</v>
      </c>
      <c r="K29" s="16" t="s">
        <v>50</v>
      </c>
      <c r="L29" s="17">
        <v>45940</v>
      </c>
      <c r="M29" s="9"/>
      <c r="N29" s="9" t="s">
        <v>125</v>
      </c>
      <c r="O29" s="11" t="s">
        <v>31</v>
      </c>
      <c r="P29" s="9" t="s">
        <v>126</v>
      </c>
      <c r="Q29" s="11"/>
    </row>
    <row r="30" spans="1:17" ht="57" customHeight="1" x14ac:dyDescent="0.25">
      <c r="A30" s="13">
        <v>19</v>
      </c>
      <c r="B30" s="11" t="s">
        <v>127</v>
      </c>
      <c r="C30" s="9">
        <v>17</v>
      </c>
      <c r="D30" s="11" t="str">
        <f t="shared" ca="1" si="0"/>
        <v>18 বছর 11 মাস 23 দিন</v>
      </c>
      <c r="E30" s="11" t="s">
        <v>128</v>
      </c>
      <c r="F30" s="14">
        <v>26535</v>
      </c>
      <c r="G30" s="20">
        <v>45406</v>
      </c>
      <c r="H30" s="11" t="s">
        <v>129</v>
      </c>
      <c r="I30" s="21" t="s">
        <v>130</v>
      </c>
      <c r="J30" s="11" t="s">
        <v>131</v>
      </c>
      <c r="K30" s="11" t="s">
        <v>132</v>
      </c>
      <c r="L30" s="20">
        <v>45442</v>
      </c>
      <c r="M30" s="9"/>
      <c r="N30" s="9" t="s">
        <v>30</v>
      </c>
      <c r="O30" s="11" t="s">
        <v>34</v>
      </c>
      <c r="P30" s="11" t="s">
        <v>133</v>
      </c>
      <c r="Q30" s="11"/>
    </row>
    <row r="31" spans="1:17" ht="66" x14ac:dyDescent="0.25">
      <c r="A31" s="13">
        <v>20</v>
      </c>
      <c r="B31" s="16" t="s">
        <v>134</v>
      </c>
      <c r="C31" s="9">
        <v>16</v>
      </c>
      <c r="D31" s="11" t="str">
        <f t="shared" ca="1" si="0"/>
        <v>17 বছর 11 মাস 14 দিন</v>
      </c>
      <c r="E31" s="16" t="s">
        <v>135</v>
      </c>
      <c r="F31" s="9">
        <v>26593</v>
      </c>
      <c r="G31" s="19">
        <v>45414</v>
      </c>
      <c r="H31" s="16" t="s">
        <v>136</v>
      </c>
      <c r="I31" s="9" t="s">
        <v>48</v>
      </c>
      <c r="J31" s="16" t="s">
        <v>137</v>
      </c>
      <c r="K31" s="16" t="s">
        <v>138</v>
      </c>
      <c r="L31" s="17">
        <v>45435</v>
      </c>
      <c r="M31" s="9"/>
      <c r="N31" s="9" t="s">
        <v>139</v>
      </c>
      <c r="O31" s="11" t="s">
        <v>51</v>
      </c>
      <c r="P31" s="9" t="s">
        <v>140</v>
      </c>
      <c r="Q31" s="11"/>
    </row>
    <row r="32" spans="1:17" ht="57.75" customHeight="1" x14ac:dyDescent="0.25">
      <c r="A32" s="13">
        <v>21</v>
      </c>
      <c r="B32" s="16" t="s">
        <v>141</v>
      </c>
      <c r="C32" s="14">
        <v>15</v>
      </c>
      <c r="D32" s="11" t="str">
        <f t="shared" ca="1" si="0"/>
        <v>16 বছর 11 মাস 14 দিন</v>
      </c>
      <c r="E32" s="16" t="s">
        <v>142</v>
      </c>
      <c r="F32" s="9">
        <v>26605</v>
      </c>
      <c r="G32" s="19">
        <v>45414</v>
      </c>
      <c r="H32" s="16" t="s">
        <v>143</v>
      </c>
      <c r="I32" s="9" t="s">
        <v>48</v>
      </c>
      <c r="J32" s="16" t="s">
        <v>144</v>
      </c>
      <c r="K32" s="16" t="s">
        <v>50</v>
      </c>
      <c r="L32" s="17" t="s">
        <v>145</v>
      </c>
      <c r="M32" s="9"/>
      <c r="N32" s="9" t="s">
        <v>146</v>
      </c>
      <c r="O32" s="11" t="s">
        <v>34</v>
      </c>
      <c r="P32" s="9" t="s">
        <v>147</v>
      </c>
      <c r="Q32" s="11"/>
    </row>
    <row r="33" spans="1:17" s="18" customFormat="1" ht="66" x14ac:dyDescent="0.25">
      <c r="A33" s="13">
        <v>22</v>
      </c>
      <c r="B33" s="16" t="s">
        <v>148</v>
      </c>
      <c r="C33" s="9">
        <v>17</v>
      </c>
      <c r="D33" s="11" t="str">
        <f t="shared" ca="1" si="0"/>
        <v>18 বছর 11 মাস 2 দিন</v>
      </c>
      <c r="E33" s="16" t="s">
        <v>149</v>
      </c>
      <c r="F33" s="9">
        <v>26689</v>
      </c>
      <c r="G33" s="19">
        <v>45426</v>
      </c>
      <c r="H33" s="16" t="s">
        <v>150</v>
      </c>
      <c r="I33" s="9" t="s">
        <v>48</v>
      </c>
      <c r="J33" s="16" t="s">
        <v>151</v>
      </c>
      <c r="K33" s="16" t="s">
        <v>50</v>
      </c>
      <c r="L33" s="17">
        <v>45929</v>
      </c>
      <c r="M33" s="9"/>
      <c r="N33" s="9" t="s">
        <v>152</v>
      </c>
      <c r="O33" s="11" t="s">
        <v>51</v>
      </c>
      <c r="P33" s="9" t="s">
        <v>153</v>
      </c>
      <c r="Q33" s="11"/>
    </row>
    <row r="34" spans="1:17" ht="55.5" customHeight="1" x14ac:dyDescent="0.25">
      <c r="A34" s="13">
        <v>23</v>
      </c>
      <c r="B34" s="16" t="s">
        <v>154</v>
      </c>
      <c r="C34" s="9">
        <v>16</v>
      </c>
      <c r="D34" s="11" t="str">
        <f t="shared" ca="1" si="0"/>
        <v>17 বছর 10 মাস 9 দিন</v>
      </c>
      <c r="E34" s="16" t="s">
        <v>155</v>
      </c>
      <c r="F34" s="9">
        <v>26844</v>
      </c>
      <c r="G34" s="17">
        <v>45450</v>
      </c>
      <c r="H34" s="16" t="s">
        <v>156</v>
      </c>
      <c r="I34" s="9" t="s">
        <v>27</v>
      </c>
      <c r="J34" s="16" t="s">
        <v>157</v>
      </c>
      <c r="K34" s="16" t="s">
        <v>50</v>
      </c>
      <c r="L34" s="17">
        <v>45715</v>
      </c>
      <c r="M34" s="9"/>
      <c r="N34" s="9" t="s">
        <v>87</v>
      </c>
      <c r="O34" s="11" t="s">
        <v>51</v>
      </c>
      <c r="P34" s="16" t="s">
        <v>158</v>
      </c>
      <c r="Q34" s="11" t="s">
        <v>159</v>
      </c>
    </row>
    <row r="35" spans="1:17" ht="54.75" customHeight="1" x14ac:dyDescent="0.25">
      <c r="A35" s="13">
        <v>24</v>
      </c>
      <c r="B35" s="16" t="s">
        <v>160</v>
      </c>
      <c r="C35" s="9">
        <v>16</v>
      </c>
      <c r="D35" s="11" t="str">
        <f t="shared" ca="1" si="0"/>
        <v>17 বছর 10 মাস 9 দিন</v>
      </c>
      <c r="E35" s="16" t="s">
        <v>161</v>
      </c>
      <c r="F35" s="9">
        <v>26845</v>
      </c>
      <c r="G35" s="17">
        <v>45450</v>
      </c>
      <c r="H35" s="16" t="s">
        <v>156</v>
      </c>
      <c r="I35" s="9" t="s">
        <v>27</v>
      </c>
      <c r="J35" s="16" t="s">
        <v>157</v>
      </c>
      <c r="K35" s="16" t="s">
        <v>50</v>
      </c>
      <c r="L35" s="17">
        <v>45715</v>
      </c>
      <c r="M35" s="9"/>
      <c r="N35" s="9" t="s">
        <v>162</v>
      </c>
      <c r="O35" s="11" t="s">
        <v>51</v>
      </c>
      <c r="P35" s="16" t="s">
        <v>163</v>
      </c>
      <c r="Q35" s="11"/>
    </row>
    <row r="36" spans="1:17" ht="66" x14ac:dyDescent="0.25">
      <c r="A36" s="13">
        <v>25</v>
      </c>
      <c r="B36" s="16" t="s">
        <v>164</v>
      </c>
      <c r="C36" s="14">
        <v>15</v>
      </c>
      <c r="D36" s="11" t="str">
        <f t="shared" ca="1" si="0"/>
        <v>16 বছর 9 মাস 26 দিন</v>
      </c>
      <c r="E36" s="16" t="s">
        <v>165</v>
      </c>
      <c r="F36" s="9">
        <v>26945</v>
      </c>
      <c r="G36" s="17">
        <v>45464</v>
      </c>
      <c r="H36" s="16" t="s">
        <v>166</v>
      </c>
      <c r="I36" s="9" t="s">
        <v>48</v>
      </c>
      <c r="J36" s="16" t="s">
        <v>167</v>
      </c>
      <c r="K36" s="16" t="s">
        <v>50</v>
      </c>
      <c r="L36" s="17"/>
      <c r="M36" s="9"/>
      <c r="N36" s="9" t="s">
        <v>168</v>
      </c>
      <c r="O36" s="11" t="s">
        <v>31</v>
      </c>
      <c r="P36" s="16" t="s">
        <v>158</v>
      </c>
      <c r="Q36" s="11" t="s">
        <v>169</v>
      </c>
    </row>
    <row r="37" spans="1:17" ht="66" x14ac:dyDescent="0.25">
      <c r="A37" s="13">
        <v>26</v>
      </c>
      <c r="B37" s="16" t="s">
        <v>170</v>
      </c>
      <c r="C37" s="9">
        <v>14</v>
      </c>
      <c r="D37" s="11" t="str">
        <f t="shared" ca="1" si="0"/>
        <v>14 বছর 9 মাস 17 দিন</v>
      </c>
      <c r="E37" s="11" t="s">
        <v>171</v>
      </c>
      <c r="F37" s="14">
        <v>27026</v>
      </c>
      <c r="G37" s="17">
        <v>45838</v>
      </c>
      <c r="H37" s="11" t="s">
        <v>172</v>
      </c>
      <c r="I37" s="11" t="s">
        <v>38</v>
      </c>
      <c r="J37" s="11" t="s">
        <v>173</v>
      </c>
      <c r="K37" s="16" t="s">
        <v>50</v>
      </c>
      <c r="L37" s="11"/>
      <c r="M37" s="9"/>
      <c r="N37" s="9" t="s">
        <v>30</v>
      </c>
      <c r="O37" s="11" t="s">
        <v>31</v>
      </c>
      <c r="P37" s="11" t="s">
        <v>174</v>
      </c>
      <c r="Q37" s="11"/>
    </row>
    <row r="38" spans="1:17" ht="66" x14ac:dyDescent="0.25">
      <c r="A38" s="13">
        <v>27</v>
      </c>
      <c r="B38" s="16" t="s">
        <v>175</v>
      </c>
      <c r="C38" s="9">
        <v>16</v>
      </c>
      <c r="D38" s="11" t="str">
        <f t="shared" ca="1" si="0"/>
        <v>17 বছর 9 মাস 14 দিন</v>
      </c>
      <c r="E38" s="16" t="s">
        <v>176</v>
      </c>
      <c r="F38" s="9">
        <v>27036</v>
      </c>
      <c r="G38" s="17">
        <v>45475</v>
      </c>
      <c r="H38" s="16" t="s">
        <v>177</v>
      </c>
      <c r="I38" s="9" t="s">
        <v>48</v>
      </c>
      <c r="J38" s="16" t="s">
        <v>178</v>
      </c>
      <c r="K38" s="16" t="s">
        <v>50</v>
      </c>
      <c r="L38" s="17">
        <v>45508</v>
      </c>
      <c r="M38" s="9"/>
      <c r="N38" s="9" t="s">
        <v>179</v>
      </c>
      <c r="O38" s="11" t="s">
        <v>110</v>
      </c>
      <c r="P38" s="9" t="s">
        <v>180</v>
      </c>
      <c r="Q38" s="11"/>
    </row>
    <row r="39" spans="1:17" s="18" customFormat="1" ht="66" x14ac:dyDescent="0.25">
      <c r="A39" s="13">
        <v>28</v>
      </c>
      <c r="B39" s="16" t="s">
        <v>181</v>
      </c>
      <c r="C39" s="9">
        <v>19</v>
      </c>
      <c r="D39" s="11" t="str">
        <f t="shared" ca="1" si="0"/>
        <v>20 বছর 9 মাস 13 দিন</v>
      </c>
      <c r="E39" s="16" t="s">
        <v>182</v>
      </c>
      <c r="F39" s="9">
        <v>27046</v>
      </c>
      <c r="G39" s="17">
        <v>45476</v>
      </c>
      <c r="H39" s="16" t="s">
        <v>183</v>
      </c>
      <c r="I39" s="9" t="s">
        <v>48</v>
      </c>
      <c r="J39" s="16" t="s">
        <v>184</v>
      </c>
      <c r="K39" s="16" t="s">
        <v>50</v>
      </c>
      <c r="L39" s="9" t="s">
        <v>145</v>
      </c>
      <c r="M39" s="9"/>
      <c r="N39" s="9" t="s">
        <v>185</v>
      </c>
      <c r="O39" s="11" t="s">
        <v>110</v>
      </c>
      <c r="P39" s="9" t="s">
        <v>186</v>
      </c>
      <c r="Q39" s="11"/>
    </row>
    <row r="40" spans="1:17" ht="66" x14ac:dyDescent="0.25">
      <c r="A40" s="13">
        <v>29</v>
      </c>
      <c r="B40" s="16" t="s">
        <v>187</v>
      </c>
      <c r="C40" s="9">
        <v>16</v>
      </c>
      <c r="D40" s="11" t="str">
        <f t="shared" ca="1" si="0"/>
        <v>17 বছর 9 মাস 6 দিন</v>
      </c>
      <c r="E40" s="16" t="s">
        <v>188</v>
      </c>
      <c r="F40" s="9">
        <v>27101</v>
      </c>
      <c r="G40" s="17">
        <v>45483</v>
      </c>
      <c r="H40" s="16" t="s">
        <v>189</v>
      </c>
      <c r="I40" s="9" t="s">
        <v>27</v>
      </c>
      <c r="J40" s="16" t="s">
        <v>190</v>
      </c>
      <c r="K40" s="16" t="s">
        <v>50</v>
      </c>
      <c r="L40" s="9"/>
      <c r="M40" s="9"/>
      <c r="N40" s="9" t="s">
        <v>191</v>
      </c>
      <c r="O40" s="11" t="s">
        <v>100</v>
      </c>
      <c r="P40" s="9" t="s">
        <v>192</v>
      </c>
      <c r="Q40" s="11"/>
    </row>
    <row r="41" spans="1:17" ht="54.75" customHeight="1" x14ac:dyDescent="0.25">
      <c r="A41" s="13">
        <v>30</v>
      </c>
      <c r="B41" s="11" t="s">
        <v>193</v>
      </c>
      <c r="C41" s="9"/>
      <c r="D41" s="11" t="str">
        <f t="shared" ca="1" si="0"/>
        <v>1 বছর 9 মাস 5 দিন</v>
      </c>
      <c r="E41" s="11" t="s">
        <v>194</v>
      </c>
      <c r="F41" s="14">
        <v>27105</v>
      </c>
      <c r="G41" s="20">
        <v>45484</v>
      </c>
      <c r="H41" s="11" t="s">
        <v>195</v>
      </c>
      <c r="I41" s="22" t="s">
        <v>196</v>
      </c>
      <c r="J41" s="11" t="s">
        <v>197</v>
      </c>
      <c r="K41" s="16" t="s">
        <v>50</v>
      </c>
      <c r="L41" s="17">
        <v>45895</v>
      </c>
      <c r="M41" s="9"/>
      <c r="N41" s="9" t="s">
        <v>30</v>
      </c>
      <c r="O41" s="11" t="s">
        <v>31</v>
      </c>
      <c r="P41" s="11" t="s">
        <v>198</v>
      </c>
      <c r="Q41" s="11"/>
    </row>
    <row r="42" spans="1:17" ht="82.5" x14ac:dyDescent="0.25">
      <c r="A42" s="13">
        <v>31</v>
      </c>
      <c r="B42" s="11" t="s">
        <v>199</v>
      </c>
      <c r="C42" s="9"/>
      <c r="D42" s="11" t="str">
        <f t="shared" ca="1" si="0"/>
        <v>1 বছর 9 মাস 5 দিন</v>
      </c>
      <c r="E42" s="11" t="s">
        <v>200</v>
      </c>
      <c r="F42" s="14">
        <v>27106</v>
      </c>
      <c r="G42" s="20">
        <v>45484</v>
      </c>
      <c r="H42" s="11" t="s">
        <v>201</v>
      </c>
      <c r="I42" s="11" t="s">
        <v>202</v>
      </c>
      <c r="J42" s="11" t="s">
        <v>203</v>
      </c>
      <c r="K42" s="16" t="s">
        <v>50</v>
      </c>
      <c r="L42" s="17">
        <v>45895</v>
      </c>
      <c r="M42" s="9"/>
      <c r="N42" s="9" t="s">
        <v>30</v>
      </c>
      <c r="O42" s="11" t="s">
        <v>31</v>
      </c>
      <c r="P42" s="9" t="s">
        <v>204</v>
      </c>
      <c r="Q42" s="11"/>
    </row>
    <row r="43" spans="1:17" ht="55.5" customHeight="1" x14ac:dyDescent="0.25">
      <c r="A43" s="13">
        <v>32</v>
      </c>
      <c r="B43" s="16" t="s">
        <v>205</v>
      </c>
      <c r="C43" s="9">
        <v>14</v>
      </c>
      <c r="D43" s="11" t="str">
        <f t="shared" ca="1" si="0"/>
        <v>15 বছর 9 মাস 3 দিন</v>
      </c>
      <c r="E43" s="16" t="s">
        <v>206</v>
      </c>
      <c r="F43" s="9">
        <v>27119</v>
      </c>
      <c r="G43" s="17">
        <v>45486</v>
      </c>
      <c r="H43" s="16" t="s">
        <v>207</v>
      </c>
      <c r="I43" s="9" t="s">
        <v>48</v>
      </c>
      <c r="J43" s="16" t="s">
        <v>98</v>
      </c>
      <c r="K43" s="16" t="s">
        <v>50</v>
      </c>
      <c r="L43" s="17">
        <v>45512</v>
      </c>
      <c r="M43" s="9"/>
      <c r="N43" s="9" t="s">
        <v>185</v>
      </c>
      <c r="O43" s="11" t="s">
        <v>31</v>
      </c>
      <c r="P43" s="9" t="s">
        <v>192</v>
      </c>
      <c r="Q43" s="11"/>
    </row>
    <row r="44" spans="1:17" ht="69" customHeight="1" x14ac:dyDescent="0.25">
      <c r="A44" s="13">
        <v>33</v>
      </c>
      <c r="B44" s="16" t="s">
        <v>208</v>
      </c>
      <c r="C44" s="9">
        <v>14</v>
      </c>
      <c r="D44" s="11" t="str">
        <f t="shared" ca="1" si="0"/>
        <v>14 বছর 9 মাস 3 দিন</v>
      </c>
      <c r="E44" s="11" t="s">
        <v>209</v>
      </c>
      <c r="F44" s="14">
        <v>27144</v>
      </c>
      <c r="G44" s="17">
        <v>45851</v>
      </c>
      <c r="H44" s="11" t="s">
        <v>210</v>
      </c>
      <c r="I44" s="11" t="s">
        <v>38</v>
      </c>
      <c r="J44" s="11" t="s">
        <v>211</v>
      </c>
      <c r="K44" s="16" t="s">
        <v>50</v>
      </c>
      <c r="L44" s="11"/>
      <c r="M44" s="9"/>
      <c r="N44" s="9" t="s">
        <v>30</v>
      </c>
      <c r="O44" s="11" t="s">
        <v>31</v>
      </c>
      <c r="P44" s="11" t="s">
        <v>174</v>
      </c>
      <c r="Q44" s="11"/>
    </row>
    <row r="45" spans="1:17" ht="57.75" customHeight="1" x14ac:dyDescent="0.25">
      <c r="A45" s="13">
        <v>34</v>
      </c>
      <c r="B45" s="16" t="s">
        <v>212</v>
      </c>
      <c r="C45" s="14">
        <v>15</v>
      </c>
      <c r="D45" s="11" t="str">
        <f t="shared" ca="1" si="0"/>
        <v>16 বছর 9 মাস 1 দিন</v>
      </c>
      <c r="E45" s="16" t="s">
        <v>213</v>
      </c>
      <c r="F45" s="9">
        <v>27156</v>
      </c>
      <c r="G45" s="17">
        <v>45488</v>
      </c>
      <c r="H45" s="16" t="s">
        <v>214</v>
      </c>
      <c r="I45" s="9" t="s">
        <v>27</v>
      </c>
      <c r="J45" s="16" t="s">
        <v>215</v>
      </c>
      <c r="K45" s="16" t="s">
        <v>50</v>
      </c>
      <c r="L45" s="17">
        <v>45515</v>
      </c>
      <c r="M45" s="9"/>
      <c r="N45" s="9" t="s">
        <v>216</v>
      </c>
      <c r="O45" s="11" t="s">
        <v>31</v>
      </c>
      <c r="P45" s="9" t="s">
        <v>217</v>
      </c>
      <c r="Q45" s="11"/>
    </row>
    <row r="46" spans="1:17" ht="50.25" customHeight="1" x14ac:dyDescent="0.25">
      <c r="A46" s="13">
        <v>35</v>
      </c>
      <c r="B46" s="16" t="s">
        <v>218</v>
      </c>
      <c r="C46" s="9">
        <v>14</v>
      </c>
      <c r="D46" s="11" t="str">
        <f t="shared" ca="1" si="0"/>
        <v>15 বছর 8 মাস 1 দিন</v>
      </c>
      <c r="E46" s="16" t="s">
        <v>219</v>
      </c>
      <c r="F46" s="9">
        <v>27292</v>
      </c>
      <c r="G46" s="17">
        <v>45519</v>
      </c>
      <c r="H46" s="16" t="s">
        <v>220</v>
      </c>
      <c r="I46" s="9" t="s">
        <v>48</v>
      </c>
      <c r="J46" s="16" t="s">
        <v>221</v>
      </c>
      <c r="K46" s="16" t="s">
        <v>74</v>
      </c>
      <c r="L46" s="17">
        <v>45880</v>
      </c>
      <c r="M46" s="9"/>
      <c r="N46" s="9" t="s">
        <v>222</v>
      </c>
      <c r="O46" s="11" t="s">
        <v>31</v>
      </c>
      <c r="P46" s="9" t="s">
        <v>223</v>
      </c>
      <c r="Q46" s="11"/>
    </row>
    <row r="47" spans="1:17" s="18" customFormat="1" ht="52.5" customHeight="1" x14ac:dyDescent="0.25">
      <c r="A47" s="13">
        <v>36</v>
      </c>
      <c r="B47" s="16" t="s">
        <v>224</v>
      </c>
      <c r="C47" s="14">
        <v>15</v>
      </c>
      <c r="D47" s="11" t="str">
        <f t="shared" ca="1" si="0"/>
        <v>16 বছর 7 মাস 1 দিন</v>
      </c>
      <c r="E47" s="16" t="s">
        <v>225</v>
      </c>
      <c r="F47" s="9">
        <v>27388</v>
      </c>
      <c r="G47" s="17">
        <v>45550</v>
      </c>
      <c r="H47" s="16" t="s">
        <v>226</v>
      </c>
      <c r="I47" s="9" t="s">
        <v>48</v>
      </c>
      <c r="J47" s="16" t="s">
        <v>227</v>
      </c>
      <c r="K47" s="16" t="s">
        <v>74</v>
      </c>
      <c r="L47" s="17">
        <v>45966</v>
      </c>
      <c r="M47" s="9"/>
      <c r="N47" s="9" t="s">
        <v>228</v>
      </c>
      <c r="O47" s="11" t="s">
        <v>31</v>
      </c>
      <c r="P47" s="16" t="s">
        <v>229</v>
      </c>
      <c r="Q47" s="11"/>
    </row>
    <row r="48" spans="1:17" ht="52.5" customHeight="1" x14ac:dyDescent="0.25">
      <c r="A48" s="13">
        <v>37</v>
      </c>
      <c r="B48" s="16" t="s">
        <v>230</v>
      </c>
      <c r="C48" s="9">
        <v>14</v>
      </c>
      <c r="D48" s="11" t="str">
        <f t="shared" ca="1" si="0"/>
        <v>15 বছর 6 মাস 17 দিন</v>
      </c>
      <c r="E48" s="16" t="s">
        <v>231</v>
      </c>
      <c r="F48" s="9">
        <v>27447</v>
      </c>
      <c r="G48" s="17">
        <v>45565</v>
      </c>
      <c r="H48" s="16" t="s">
        <v>232</v>
      </c>
      <c r="I48" s="9" t="s">
        <v>27</v>
      </c>
      <c r="J48" s="16" t="s">
        <v>233</v>
      </c>
      <c r="K48" s="16" t="s">
        <v>50</v>
      </c>
      <c r="L48" s="17">
        <v>45586</v>
      </c>
      <c r="M48" s="9"/>
      <c r="N48" s="9" t="s">
        <v>234</v>
      </c>
      <c r="O48" s="11" t="s">
        <v>31</v>
      </c>
      <c r="P48" s="9" t="s">
        <v>101</v>
      </c>
      <c r="Q48" s="11"/>
    </row>
    <row r="49" spans="1:17" ht="58.5" customHeight="1" x14ac:dyDescent="0.25">
      <c r="A49" s="13">
        <v>38</v>
      </c>
      <c r="B49" s="16" t="s">
        <v>235</v>
      </c>
      <c r="C49" s="9">
        <v>17</v>
      </c>
      <c r="D49" s="11" t="str">
        <f t="shared" ca="1" si="0"/>
        <v>18 বছর 6 মাস 14 দিন</v>
      </c>
      <c r="E49" s="16" t="s">
        <v>236</v>
      </c>
      <c r="F49" s="9">
        <v>27457</v>
      </c>
      <c r="G49" s="17">
        <v>45567</v>
      </c>
      <c r="H49" s="16" t="s">
        <v>237</v>
      </c>
      <c r="I49" s="9" t="s">
        <v>48</v>
      </c>
      <c r="J49" s="16" t="s">
        <v>238</v>
      </c>
      <c r="K49" s="16" t="s">
        <v>50</v>
      </c>
      <c r="L49" s="17">
        <v>45946</v>
      </c>
      <c r="M49" s="9"/>
      <c r="N49" s="9" t="s">
        <v>239</v>
      </c>
      <c r="O49" s="11" t="s">
        <v>51</v>
      </c>
      <c r="P49" s="9" t="s">
        <v>240</v>
      </c>
      <c r="Q49" s="11"/>
    </row>
    <row r="50" spans="1:17" ht="66" x14ac:dyDescent="0.25">
      <c r="A50" s="13">
        <v>39</v>
      </c>
      <c r="B50" s="16" t="s">
        <v>241</v>
      </c>
      <c r="C50" s="9">
        <v>19</v>
      </c>
      <c r="D50" s="11" t="str">
        <f t="shared" ca="1" si="0"/>
        <v>20 বছর 5 মাস 15 দিন</v>
      </c>
      <c r="E50" s="16" t="s">
        <v>242</v>
      </c>
      <c r="F50" s="9">
        <v>27647</v>
      </c>
      <c r="G50" s="17">
        <v>45597</v>
      </c>
      <c r="H50" s="16" t="s">
        <v>243</v>
      </c>
      <c r="I50" s="9" t="s">
        <v>48</v>
      </c>
      <c r="J50" s="16" t="s">
        <v>244</v>
      </c>
      <c r="K50" s="16" t="s">
        <v>50</v>
      </c>
      <c r="L50" s="9" t="s">
        <v>145</v>
      </c>
      <c r="M50" s="9"/>
      <c r="N50" s="9" t="s">
        <v>245</v>
      </c>
      <c r="O50" s="11" t="s">
        <v>110</v>
      </c>
      <c r="P50" s="9" t="s">
        <v>246</v>
      </c>
      <c r="Q50" s="11"/>
    </row>
    <row r="51" spans="1:17" ht="66" x14ac:dyDescent="0.25">
      <c r="A51" s="13">
        <v>40</v>
      </c>
      <c r="B51" s="16" t="s">
        <v>247</v>
      </c>
      <c r="C51" s="14">
        <v>15</v>
      </c>
      <c r="D51" s="11" t="str">
        <f t="shared" ca="1" si="0"/>
        <v>16 বছর 5 মাস 11 দিন</v>
      </c>
      <c r="E51" s="16" t="s">
        <v>248</v>
      </c>
      <c r="F51" s="9">
        <v>27674</v>
      </c>
      <c r="G51" s="17">
        <v>45601</v>
      </c>
      <c r="H51" s="16" t="s">
        <v>249</v>
      </c>
      <c r="I51" s="9" t="s">
        <v>48</v>
      </c>
      <c r="J51" s="16" t="s">
        <v>250</v>
      </c>
      <c r="K51" s="16" t="s">
        <v>50</v>
      </c>
      <c r="L51" s="17">
        <v>45958</v>
      </c>
      <c r="M51" s="9"/>
      <c r="N51" s="9" t="s">
        <v>251</v>
      </c>
      <c r="O51" s="11" t="s">
        <v>31</v>
      </c>
      <c r="P51" s="9" t="s">
        <v>252</v>
      </c>
      <c r="Q51" s="11"/>
    </row>
    <row r="52" spans="1:17" ht="66" x14ac:dyDescent="0.25">
      <c r="A52" s="13">
        <v>41</v>
      </c>
      <c r="B52" s="16" t="s">
        <v>253</v>
      </c>
      <c r="C52" s="9">
        <v>14</v>
      </c>
      <c r="D52" s="11" t="str">
        <f t="shared" ca="1" si="0"/>
        <v>15 বছর 5 মাস 9 দিন</v>
      </c>
      <c r="E52" s="16" t="s">
        <v>254</v>
      </c>
      <c r="F52" s="9">
        <v>27698</v>
      </c>
      <c r="G52" s="17">
        <v>45603</v>
      </c>
      <c r="H52" s="16" t="s">
        <v>255</v>
      </c>
      <c r="I52" s="9" t="s">
        <v>48</v>
      </c>
      <c r="J52" s="16" t="s">
        <v>61</v>
      </c>
      <c r="K52" s="16" t="s">
        <v>50</v>
      </c>
      <c r="L52" s="17">
        <v>45949</v>
      </c>
      <c r="M52" s="9"/>
      <c r="N52" s="9" t="s">
        <v>239</v>
      </c>
      <c r="O52" s="11" t="s">
        <v>31</v>
      </c>
      <c r="P52" s="9" t="s">
        <v>256</v>
      </c>
      <c r="Q52" s="11"/>
    </row>
    <row r="53" spans="1:17" ht="66" x14ac:dyDescent="0.25">
      <c r="A53" s="13">
        <v>42</v>
      </c>
      <c r="B53" s="11" t="s">
        <v>257</v>
      </c>
      <c r="C53" s="9">
        <v>16</v>
      </c>
      <c r="D53" s="11" t="str">
        <f t="shared" ca="1" si="0"/>
        <v>17 বছর 5 মাস 2 দিন</v>
      </c>
      <c r="E53" s="11" t="s">
        <v>258</v>
      </c>
      <c r="F53" s="14">
        <v>27747</v>
      </c>
      <c r="G53" s="20">
        <v>45610</v>
      </c>
      <c r="H53" s="11" t="s">
        <v>259</v>
      </c>
      <c r="I53" s="11" t="s">
        <v>202</v>
      </c>
      <c r="J53" s="11" t="s">
        <v>260</v>
      </c>
      <c r="K53" s="11" t="s">
        <v>132</v>
      </c>
      <c r="L53" s="20">
        <v>45896</v>
      </c>
      <c r="M53" s="9"/>
      <c r="N53" s="9" t="s">
        <v>30</v>
      </c>
      <c r="O53" s="11" t="s">
        <v>100</v>
      </c>
      <c r="P53" s="11" t="s">
        <v>261</v>
      </c>
      <c r="Q53" s="11"/>
    </row>
    <row r="54" spans="1:17" ht="66" x14ac:dyDescent="0.25">
      <c r="A54" s="13">
        <v>43</v>
      </c>
      <c r="B54" s="16" t="s">
        <v>262</v>
      </c>
      <c r="C54" s="14">
        <v>15</v>
      </c>
      <c r="D54" s="11" t="str">
        <f t="shared" ca="1" si="0"/>
        <v>16 বছর 4 মাস 18 দিন</v>
      </c>
      <c r="E54" s="11" t="s">
        <v>263</v>
      </c>
      <c r="F54" s="14">
        <v>27845</v>
      </c>
      <c r="G54" s="17">
        <v>45625</v>
      </c>
      <c r="H54" s="11" t="s">
        <v>264</v>
      </c>
      <c r="I54" s="11" t="s">
        <v>265</v>
      </c>
      <c r="J54" s="11" t="s">
        <v>266</v>
      </c>
      <c r="K54" s="16" t="s">
        <v>50</v>
      </c>
      <c r="L54" s="23">
        <v>45665</v>
      </c>
      <c r="M54" s="9"/>
      <c r="N54" s="9" t="s">
        <v>30</v>
      </c>
      <c r="O54" s="11" t="s">
        <v>31</v>
      </c>
      <c r="P54" s="11" t="s">
        <v>174</v>
      </c>
      <c r="Q54" s="11"/>
    </row>
    <row r="55" spans="1:17" ht="66" x14ac:dyDescent="0.25">
      <c r="A55" s="13">
        <v>44</v>
      </c>
      <c r="B55" s="16" t="s">
        <v>267</v>
      </c>
      <c r="C55" s="14">
        <v>15</v>
      </c>
      <c r="D55" s="11" t="str">
        <f t="shared" ca="1" si="0"/>
        <v>16 বছর 4 মাস 18 দিন</v>
      </c>
      <c r="E55" s="16" t="s">
        <v>268</v>
      </c>
      <c r="F55" s="9">
        <v>27858</v>
      </c>
      <c r="G55" s="17">
        <v>45625</v>
      </c>
      <c r="H55" s="16" t="s">
        <v>269</v>
      </c>
      <c r="I55" s="9" t="s">
        <v>27</v>
      </c>
      <c r="J55" s="16" t="s">
        <v>270</v>
      </c>
      <c r="K55" s="16" t="s">
        <v>50</v>
      </c>
      <c r="L55" s="17">
        <v>45923</v>
      </c>
      <c r="M55" s="9"/>
      <c r="N55" s="9" t="s">
        <v>271</v>
      </c>
      <c r="O55" s="11" t="s">
        <v>31</v>
      </c>
      <c r="P55" s="9" t="s">
        <v>272</v>
      </c>
      <c r="Q55" s="11"/>
    </row>
    <row r="56" spans="1:17" ht="66" x14ac:dyDescent="0.25">
      <c r="A56" s="13">
        <v>45</v>
      </c>
      <c r="B56" s="16" t="s">
        <v>273</v>
      </c>
      <c r="C56" s="14">
        <v>15</v>
      </c>
      <c r="D56" s="11" t="str">
        <f t="shared" ca="1" si="0"/>
        <v>16 বছর 4 মাস 15 দিন</v>
      </c>
      <c r="E56" s="16" t="s">
        <v>274</v>
      </c>
      <c r="F56" s="9">
        <v>27871</v>
      </c>
      <c r="G56" s="17">
        <v>45627</v>
      </c>
      <c r="H56" s="16" t="s">
        <v>275</v>
      </c>
      <c r="I56" s="9" t="s">
        <v>48</v>
      </c>
      <c r="J56" s="16" t="s">
        <v>276</v>
      </c>
      <c r="K56" s="16" t="s">
        <v>50</v>
      </c>
      <c r="L56" s="17">
        <v>45658</v>
      </c>
      <c r="M56" s="9"/>
      <c r="N56" s="9" t="s">
        <v>222</v>
      </c>
      <c r="O56" s="11" t="s">
        <v>34</v>
      </c>
      <c r="P56" s="9" t="s">
        <v>180</v>
      </c>
      <c r="Q56" s="11"/>
    </row>
    <row r="57" spans="1:17" ht="66" x14ac:dyDescent="0.25">
      <c r="A57" s="13">
        <v>46</v>
      </c>
      <c r="B57" s="16" t="s">
        <v>277</v>
      </c>
      <c r="C57" s="14">
        <v>15</v>
      </c>
      <c r="D57" s="11" t="str">
        <f t="shared" ca="1" si="0"/>
        <v>16 বছর 4 মাস 15 দিন</v>
      </c>
      <c r="E57" s="16" t="s">
        <v>278</v>
      </c>
      <c r="F57" s="9">
        <v>27872</v>
      </c>
      <c r="G57" s="17">
        <v>45627</v>
      </c>
      <c r="H57" s="16" t="s">
        <v>275</v>
      </c>
      <c r="I57" s="9" t="s">
        <v>48</v>
      </c>
      <c r="J57" s="16" t="s">
        <v>276</v>
      </c>
      <c r="K57" s="16" t="s">
        <v>50</v>
      </c>
      <c r="L57" s="17">
        <v>45658</v>
      </c>
      <c r="M57" s="9"/>
      <c r="N57" s="9" t="s">
        <v>93</v>
      </c>
      <c r="O57" s="11" t="s">
        <v>31</v>
      </c>
      <c r="P57" s="9" t="s">
        <v>88</v>
      </c>
      <c r="Q57" s="11"/>
    </row>
    <row r="58" spans="1:17" ht="155.25" customHeight="1" x14ac:dyDescent="0.25">
      <c r="A58" s="13">
        <v>47</v>
      </c>
      <c r="B58" s="16" t="s">
        <v>279</v>
      </c>
      <c r="C58" s="14">
        <v>15</v>
      </c>
      <c r="D58" s="11" t="str">
        <f t="shared" ca="1" si="0"/>
        <v>16 বছর 4 মাস 13 দিন</v>
      </c>
      <c r="E58" s="11" t="s">
        <v>280</v>
      </c>
      <c r="F58" s="14">
        <v>27904</v>
      </c>
      <c r="G58" s="17">
        <v>45629</v>
      </c>
      <c r="H58" s="11" t="s">
        <v>281</v>
      </c>
      <c r="I58" s="11" t="s">
        <v>265</v>
      </c>
      <c r="J58" s="11" t="s">
        <v>282</v>
      </c>
      <c r="K58" s="16" t="s">
        <v>50</v>
      </c>
      <c r="L58" s="23">
        <v>45644</v>
      </c>
      <c r="M58" s="9"/>
      <c r="N58" s="9" t="s">
        <v>30</v>
      </c>
      <c r="O58" s="11" t="s">
        <v>31</v>
      </c>
      <c r="P58" s="16" t="s">
        <v>158</v>
      </c>
      <c r="Q58" s="11" t="s">
        <v>283</v>
      </c>
    </row>
    <row r="59" spans="1:17" ht="152.25" customHeight="1" x14ac:dyDescent="0.25">
      <c r="A59" s="13">
        <v>48</v>
      </c>
      <c r="B59" s="16" t="s">
        <v>284</v>
      </c>
      <c r="C59" s="9">
        <v>16</v>
      </c>
      <c r="D59" s="11" t="str">
        <f t="shared" ca="1" si="0"/>
        <v>17 বছর 4 মাস 6 দিন</v>
      </c>
      <c r="E59" s="16" t="s">
        <v>285</v>
      </c>
      <c r="F59" s="9">
        <v>27956</v>
      </c>
      <c r="G59" s="17">
        <v>45636</v>
      </c>
      <c r="H59" s="16" t="s">
        <v>286</v>
      </c>
      <c r="I59" s="9" t="s">
        <v>27</v>
      </c>
      <c r="J59" s="16" t="s">
        <v>119</v>
      </c>
      <c r="K59" s="16" t="s">
        <v>50</v>
      </c>
      <c r="L59" s="17">
        <v>45918</v>
      </c>
      <c r="M59" s="9"/>
      <c r="N59" s="9" t="s">
        <v>287</v>
      </c>
      <c r="O59" s="11" t="s">
        <v>34</v>
      </c>
      <c r="P59" s="16" t="s">
        <v>158</v>
      </c>
      <c r="Q59" s="11" t="s">
        <v>288</v>
      </c>
    </row>
    <row r="60" spans="1:17" ht="66" x14ac:dyDescent="0.25">
      <c r="A60" s="13">
        <v>49</v>
      </c>
      <c r="B60" s="11" t="s">
        <v>289</v>
      </c>
      <c r="C60" s="9">
        <v>16</v>
      </c>
      <c r="D60" s="11" t="str">
        <f t="shared" ca="1" si="0"/>
        <v>17 বছর 3 মাস 25 দিন</v>
      </c>
      <c r="E60" s="11" t="s">
        <v>290</v>
      </c>
      <c r="F60" s="14">
        <v>28033</v>
      </c>
      <c r="G60" s="20">
        <v>45648</v>
      </c>
      <c r="H60" s="11" t="s">
        <v>291</v>
      </c>
      <c r="I60" s="11" t="s">
        <v>292</v>
      </c>
      <c r="J60" s="11" t="s">
        <v>293</v>
      </c>
      <c r="K60" s="16" t="s">
        <v>50</v>
      </c>
      <c r="L60" s="17">
        <v>45680</v>
      </c>
      <c r="M60" s="9"/>
      <c r="N60" s="9" t="s">
        <v>30</v>
      </c>
      <c r="O60" s="11" t="s">
        <v>100</v>
      </c>
      <c r="P60" s="11" t="s">
        <v>294</v>
      </c>
      <c r="Q60" s="11"/>
    </row>
    <row r="61" spans="1:17" ht="66" x14ac:dyDescent="0.25">
      <c r="A61" s="13">
        <v>50</v>
      </c>
      <c r="B61" s="11" t="s">
        <v>295</v>
      </c>
      <c r="C61" s="9">
        <v>16</v>
      </c>
      <c r="D61" s="11" t="str">
        <f t="shared" ca="1" si="0"/>
        <v>17 বছর 3 মাস 25 দিন</v>
      </c>
      <c r="E61" s="11" t="s">
        <v>296</v>
      </c>
      <c r="F61" s="14">
        <v>28034</v>
      </c>
      <c r="G61" s="20">
        <v>45648</v>
      </c>
      <c r="H61" s="11" t="s">
        <v>297</v>
      </c>
      <c r="I61" s="11" t="s">
        <v>292</v>
      </c>
      <c r="J61" s="11" t="s">
        <v>298</v>
      </c>
      <c r="K61" s="16" t="s">
        <v>50</v>
      </c>
      <c r="L61" s="17">
        <v>45680</v>
      </c>
      <c r="M61" s="9"/>
      <c r="N61" s="9" t="s">
        <v>30</v>
      </c>
      <c r="O61" s="11" t="s">
        <v>34</v>
      </c>
      <c r="P61" s="11" t="s">
        <v>294</v>
      </c>
      <c r="Q61" s="11"/>
    </row>
    <row r="62" spans="1:17" s="18" customFormat="1" ht="66" x14ac:dyDescent="0.25">
      <c r="A62" s="13">
        <v>51</v>
      </c>
      <c r="B62" s="16" t="s">
        <v>299</v>
      </c>
      <c r="C62" s="9">
        <v>16</v>
      </c>
      <c r="D62" s="11" t="str">
        <f t="shared" ca="1" si="0"/>
        <v>17 বছর 3 মাস 23 দিন</v>
      </c>
      <c r="E62" s="16" t="s">
        <v>300</v>
      </c>
      <c r="F62" s="9">
        <v>28051</v>
      </c>
      <c r="G62" s="17">
        <v>45650</v>
      </c>
      <c r="H62" s="16" t="s">
        <v>301</v>
      </c>
      <c r="I62" s="9" t="s">
        <v>48</v>
      </c>
      <c r="J62" s="16" t="s">
        <v>184</v>
      </c>
      <c r="K62" s="16" t="s">
        <v>50</v>
      </c>
      <c r="L62" s="9" t="s">
        <v>302</v>
      </c>
      <c r="M62" s="9"/>
      <c r="N62" s="9" t="s">
        <v>303</v>
      </c>
      <c r="O62" s="11" t="s">
        <v>34</v>
      </c>
      <c r="P62" s="9" t="s">
        <v>101</v>
      </c>
      <c r="Q62" s="11"/>
    </row>
    <row r="63" spans="1:17" s="18" customFormat="1" ht="66" x14ac:dyDescent="0.25">
      <c r="A63" s="13">
        <v>52</v>
      </c>
      <c r="B63" s="16" t="s">
        <v>304</v>
      </c>
      <c r="C63" s="9">
        <v>17</v>
      </c>
      <c r="D63" s="11" t="str">
        <f t="shared" ca="1" si="0"/>
        <v>18 বছর 3 মাস 11 দিন</v>
      </c>
      <c r="E63" s="16" t="s">
        <v>305</v>
      </c>
      <c r="F63" s="9">
        <v>28138</v>
      </c>
      <c r="G63" s="17">
        <v>45662</v>
      </c>
      <c r="H63" s="16" t="s">
        <v>306</v>
      </c>
      <c r="I63" s="9" t="s">
        <v>48</v>
      </c>
      <c r="J63" s="16" t="s">
        <v>307</v>
      </c>
      <c r="K63" s="16" t="s">
        <v>50</v>
      </c>
      <c r="L63" s="17">
        <v>45697</v>
      </c>
      <c r="M63" s="9"/>
      <c r="N63" s="9" t="s">
        <v>308</v>
      </c>
      <c r="O63" s="11" t="s">
        <v>51</v>
      </c>
      <c r="P63" s="9" t="s">
        <v>309</v>
      </c>
      <c r="Q63" s="11"/>
    </row>
    <row r="64" spans="1:17" ht="49.5" x14ac:dyDescent="0.25">
      <c r="A64" s="13">
        <v>53</v>
      </c>
      <c r="B64" s="11" t="s">
        <v>310</v>
      </c>
      <c r="C64" s="9"/>
      <c r="D64" s="11" t="str">
        <f t="shared" ca="1" si="0"/>
        <v>1 বছর 2 মাস 22 দিন</v>
      </c>
      <c r="E64" s="11" t="s">
        <v>311</v>
      </c>
      <c r="F64" s="14">
        <v>28290</v>
      </c>
      <c r="G64" s="20">
        <v>45682</v>
      </c>
      <c r="H64" s="11" t="s">
        <v>312</v>
      </c>
      <c r="I64" s="11" t="s">
        <v>202</v>
      </c>
      <c r="J64" s="11" t="s">
        <v>313</v>
      </c>
      <c r="K64" s="11" t="s">
        <v>132</v>
      </c>
      <c r="L64" s="11"/>
      <c r="M64" s="9"/>
      <c r="N64" s="9" t="s">
        <v>30</v>
      </c>
      <c r="O64" s="11" t="s">
        <v>31</v>
      </c>
      <c r="P64" s="11" t="s">
        <v>314</v>
      </c>
      <c r="Q64" s="11"/>
    </row>
    <row r="65" spans="1:17" ht="66" x14ac:dyDescent="0.25">
      <c r="A65" s="13">
        <v>54</v>
      </c>
      <c r="B65" s="16" t="s">
        <v>315</v>
      </c>
      <c r="C65" s="9">
        <v>14</v>
      </c>
      <c r="D65" s="11" t="str">
        <f t="shared" ca="1" si="0"/>
        <v>15 বছর 2 মাস 13 দিন</v>
      </c>
      <c r="E65" s="16" t="s">
        <v>316</v>
      </c>
      <c r="F65" s="9">
        <v>28347</v>
      </c>
      <c r="G65" s="17">
        <v>45691</v>
      </c>
      <c r="H65" s="16" t="s">
        <v>317</v>
      </c>
      <c r="I65" s="9" t="s">
        <v>27</v>
      </c>
      <c r="J65" s="16" t="s">
        <v>318</v>
      </c>
      <c r="K65" s="16" t="s">
        <v>50</v>
      </c>
      <c r="L65" s="17">
        <v>45714</v>
      </c>
      <c r="M65" s="9"/>
      <c r="N65" s="9" t="s">
        <v>308</v>
      </c>
      <c r="O65" s="11" t="s">
        <v>31</v>
      </c>
      <c r="P65" s="9" t="s">
        <v>319</v>
      </c>
      <c r="Q65" s="11"/>
    </row>
    <row r="66" spans="1:17" ht="66" x14ac:dyDescent="0.25">
      <c r="A66" s="13">
        <v>55</v>
      </c>
      <c r="B66" s="16" t="s">
        <v>320</v>
      </c>
      <c r="C66" s="9">
        <v>19</v>
      </c>
      <c r="D66" s="11" t="str">
        <f t="shared" ca="1" si="0"/>
        <v>20 বছর 2 মাস 10 দিন</v>
      </c>
      <c r="E66" s="16" t="s">
        <v>321</v>
      </c>
      <c r="F66" s="9">
        <v>28375</v>
      </c>
      <c r="G66" s="17">
        <v>45694</v>
      </c>
      <c r="H66" s="16" t="s">
        <v>322</v>
      </c>
      <c r="I66" s="9" t="s">
        <v>48</v>
      </c>
      <c r="J66" s="16" t="s">
        <v>323</v>
      </c>
      <c r="K66" s="16" t="s">
        <v>50</v>
      </c>
      <c r="L66" s="17">
        <v>45706</v>
      </c>
      <c r="M66" s="9"/>
      <c r="N66" s="9" t="s">
        <v>324</v>
      </c>
      <c r="O66" s="11" t="s">
        <v>110</v>
      </c>
      <c r="P66" s="9" t="s">
        <v>325</v>
      </c>
      <c r="Q66" s="11"/>
    </row>
    <row r="67" spans="1:17" ht="66" x14ac:dyDescent="0.25">
      <c r="A67" s="13">
        <v>56</v>
      </c>
      <c r="B67" s="16" t="s">
        <v>326</v>
      </c>
      <c r="C67" s="9">
        <v>17</v>
      </c>
      <c r="D67" s="11" t="str">
        <f t="shared" ca="1" si="0"/>
        <v>18 বছর 2 মাস 4 দিন</v>
      </c>
      <c r="E67" s="16" t="s">
        <v>327</v>
      </c>
      <c r="F67" s="9">
        <v>28419</v>
      </c>
      <c r="G67" s="17">
        <v>45700</v>
      </c>
      <c r="H67" s="16" t="s">
        <v>328</v>
      </c>
      <c r="I67" s="9" t="s">
        <v>48</v>
      </c>
      <c r="J67" s="16" t="s">
        <v>329</v>
      </c>
      <c r="K67" s="16" t="s">
        <v>50</v>
      </c>
      <c r="L67" s="17">
        <v>45706</v>
      </c>
      <c r="M67" s="9"/>
      <c r="N67" s="9" t="s">
        <v>330</v>
      </c>
      <c r="O67" s="11" t="s">
        <v>51</v>
      </c>
      <c r="P67" s="9" t="s">
        <v>94</v>
      </c>
      <c r="Q67" s="11"/>
    </row>
    <row r="68" spans="1:17" ht="66" x14ac:dyDescent="0.25">
      <c r="A68" s="13">
        <v>57</v>
      </c>
      <c r="B68" s="16" t="s">
        <v>331</v>
      </c>
      <c r="C68" s="14">
        <v>15</v>
      </c>
      <c r="D68" s="11" t="str">
        <f t="shared" ca="1" si="0"/>
        <v>16 বছর 1 মাস 23 দিন</v>
      </c>
      <c r="E68" s="16" t="s">
        <v>332</v>
      </c>
      <c r="F68" s="9">
        <v>28488</v>
      </c>
      <c r="G68" s="17">
        <v>45712</v>
      </c>
      <c r="H68" s="16" t="s">
        <v>333</v>
      </c>
      <c r="I68" s="9" t="s">
        <v>27</v>
      </c>
      <c r="J68" s="16" t="s">
        <v>334</v>
      </c>
      <c r="K68" s="16" t="s">
        <v>50</v>
      </c>
      <c r="L68" s="9" t="s">
        <v>335</v>
      </c>
      <c r="M68" s="9"/>
      <c r="N68" s="9" t="s">
        <v>336</v>
      </c>
      <c r="O68" s="11" t="s">
        <v>31</v>
      </c>
      <c r="P68" s="9" t="s">
        <v>101</v>
      </c>
      <c r="Q68" s="11"/>
    </row>
    <row r="69" spans="1:17" ht="82.5" x14ac:dyDescent="0.25">
      <c r="A69" s="13">
        <v>58</v>
      </c>
      <c r="B69" s="11" t="s">
        <v>337</v>
      </c>
      <c r="C69" s="9">
        <v>16</v>
      </c>
      <c r="D69" s="11" t="str">
        <f t="shared" ca="1" si="0"/>
        <v>17 বছর 1 মাস 23 দিন</v>
      </c>
      <c r="E69" s="11" t="s">
        <v>338</v>
      </c>
      <c r="F69" s="14">
        <v>28494</v>
      </c>
      <c r="G69" s="20">
        <v>45712</v>
      </c>
      <c r="H69" s="11" t="s">
        <v>339</v>
      </c>
      <c r="I69" s="11" t="s">
        <v>292</v>
      </c>
      <c r="J69" s="11" t="s">
        <v>340</v>
      </c>
      <c r="K69" s="16" t="s">
        <v>50</v>
      </c>
      <c r="L69" s="17">
        <v>45777</v>
      </c>
      <c r="M69" s="9"/>
      <c r="N69" s="9" t="s">
        <v>30</v>
      </c>
      <c r="O69" s="11" t="s">
        <v>31</v>
      </c>
      <c r="P69" s="11" t="s">
        <v>294</v>
      </c>
      <c r="Q69" s="11"/>
    </row>
    <row r="70" spans="1:17" ht="66" x14ac:dyDescent="0.25">
      <c r="A70" s="13">
        <v>59</v>
      </c>
      <c r="B70" s="16" t="s">
        <v>341</v>
      </c>
      <c r="C70" s="9">
        <v>17</v>
      </c>
      <c r="D70" s="11" t="str">
        <f t="shared" ca="1" si="0"/>
        <v>18 বছর 1 মাস 13 দিন</v>
      </c>
      <c r="E70" s="16" t="s">
        <v>342</v>
      </c>
      <c r="F70" s="9">
        <v>28542</v>
      </c>
      <c r="G70" s="17">
        <v>45719</v>
      </c>
      <c r="H70" s="16" t="s">
        <v>343</v>
      </c>
      <c r="I70" s="9" t="s">
        <v>48</v>
      </c>
      <c r="J70" s="16" t="s">
        <v>344</v>
      </c>
      <c r="K70" s="16" t="s">
        <v>50</v>
      </c>
      <c r="L70" s="17">
        <v>45901</v>
      </c>
      <c r="M70" s="9"/>
      <c r="N70" s="9" t="s">
        <v>345</v>
      </c>
      <c r="O70" s="11" t="s">
        <v>110</v>
      </c>
      <c r="P70" s="9" t="s">
        <v>69</v>
      </c>
      <c r="Q70" s="11"/>
    </row>
    <row r="71" spans="1:17" ht="99" x14ac:dyDescent="0.25">
      <c r="A71" s="13">
        <v>60</v>
      </c>
      <c r="B71" s="11" t="s">
        <v>346</v>
      </c>
      <c r="C71" s="9">
        <v>21</v>
      </c>
      <c r="D71" s="11" t="str">
        <f t="shared" ca="1" si="0"/>
        <v>22 বছর 1 মাস 13 দিন</v>
      </c>
      <c r="E71" s="11" t="s">
        <v>347</v>
      </c>
      <c r="F71" s="14">
        <v>28551</v>
      </c>
      <c r="G71" s="20">
        <v>45719</v>
      </c>
      <c r="H71" s="11" t="s">
        <v>348</v>
      </c>
      <c r="I71" s="11" t="s">
        <v>292</v>
      </c>
      <c r="J71" s="11" t="s">
        <v>349</v>
      </c>
      <c r="K71" s="16" t="s">
        <v>50</v>
      </c>
      <c r="L71" s="17">
        <v>45729</v>
      </c>
      <c r="M71" s="9"/>
      <c r="N71" s="9" t="s">
        <v>30</v>
      </c>
      <c r="O71" s="11" t="s">
        <v>34</v>
      </c>
      <c r="P71" s="11" t="s">
        <v>350</v>
      </c>
      <c r="Q71" s="11"/>
    </row>
    <row r="72" spans="1:17" ht="82.5" x14ac:dyDescent="0.25">
      <c r="A72" s="13">
        <v>61</v>
      </c>
      <c r="B72" s="16" t="s">
        <v>351</v>
      </c>
      <c r="C72" s="9" t="s">
        <v>352</v>
      </c>
      <c r="D72" s="11" t="e">
        <f t="shared" ca="1" si="0"/>
        <v>#VALUE!</v>
      </c>
      <c r="E72" s="16" t="s">
        <v>353</v>
      </c>
      <c r="F72" s="9">
        <v>28589</v>
      </c>
      <c r="G72" s="17">
        <v>45724</v>
      </c>
      <c r="H72" s="16" t="s">
        <v>354</v>
      </c>
      <c r="I72" s="9" t="s">
        <v>48</v>
      </c>
      <c r="J72" s="16" t="s">
        <v>355</v>
      </c>
      <c r="K72" s="16" t="s">
        <v>50</v>
      </c>
      <c r="L72" s="17">
        <v>45740</v>
      </c>
      <c r="M72" s="9"/>
      <c r="N72" s="9" t="s">
        <v>245</v>
      </c>
      <c r="O72" s="11" t="s">
        <v>100</v>
      </c>
      <c r="P72" s="9" t="s">
        <v>356</v>
      </c>
      <c r="Q72" s="11"/>
    </row>
    <row r="73" spans="1:17" ht="66" x14ac:dyDescent="0.25">
      <c r="A73" s="13">
        <v>62</v>
      </c>
      <c r="B73" s="16" t="s">
        <v>357</v>
      </c>
      <c r="C73" s="14">
        <v>15</v>
      </c>
      <c r="D73" s="11" t="str">
        <f t="shared" ca="1" si="0"/>
        <v>16 বছর 1 মাস 6 দিন</v>
      </c>
      <c r="E73" s="11" t="s">
        <v>358</v>
      </c>
      <c r="F73" s="14">
        <v>28616</v>
      </c>
      <c r="G73" s="17">
        <v>45726</v>
      </c>
      <c r="H73" s="11" t="s">
        <v>359</v>
      </c>
      <c r="I73" s="11" t="s">
        <v>265</v>
      </c>
      <c r="J73" s="16" t="s">
        <v>360</v>
      </c>
      <c r="K73" s="16" t="s">
        <v>50</v>
      </c>
      <c r="L73" s="23"/>
      <c r="M73" s="9"/>
      <c r="N73" s="9" t="s">
        <v>30</v>
      </c>
      <c r="O73" s="11" t="s">
        <v>31</v>
      </c>
      <c r="P73" s="11" t="s">
        <v>361</v>
      </c>
      <c r="Q73" s="11"/>
    </row>
    <row r="74" spans="1:17" ht="66" x14ac:dyDescent="0.25">
      <c r="A74" s="13">
        <v>63</v>
      </c>
      <c r="B74" s="16" t="s">
        <v>362</v>
      </c>
      <c r="C74" s="9">
        <v>16</v>
      </c>
      <c r="D74" s="11" t="str">
        <f t="shared" ca="1" si="0"/>
        <v>17 বছর 1 মাস 6 দিন</v>
      </c>
      <c r="E74" s="16" t="s">
        <v>363</v>
      </c>
      <c r="F74" s="9">
        <v>28628</v>
      </c>
      <c r="G74" s="17">
        <v>45726</v>
      </c>
      <c r="H74" s="16" t="s">
        <v>364</v>
      </c>
      <c r="I74" s="9" t="s">
        <v>27</v>
      </c>
      <c r="J74" s="16" t="s">
        <v>365</v>
      </c>
      <c r="K74" s="16" t="s">
        <v>50</v>
      </c>
      <c r="L74" s="17">
        <v>45911</v>
      </c>
      <c r="M74" s="9"/>
      <c r="N74" s="9" t="s">
        <v>366</v>
      </c>
      <c r="O74" s="11" t="s">
        <v>31</v>
      </c>
      <c r="P74" s="9" t="s">
        <v>367</v>
      </c>
      <c r="Q74" s="11"/>
    </row>
    <row r="75" spans="1:17" ht="66" x14ac:dyDescent="0.25">
      <c r="A75" s="13">
        <v>64</v>
      </c>
      <c r="B75" s="16" t="s">
        <v>368</v>
      </c>
      <c r="C75" s="9" t="s">
        <v>352</v>
      </c>
      <c r="D75" s="11" t="e">
        <f t="shared" ca="1" si="0"/>
        <v>#VALUE!</v>
      </c>
      <c r="E75" s="16" t="s">
        <v>369</v>
      </c>
      <c r="F75" s="9">
        <v>28633</v>
      </c>
      <c r="G75" s="17">
        <v>45727</v>
      </c>
      <c r="H75" s="16" t="s">
        <v>370</v>
      </c>
      <c r="I75" s="9" t="s">
        <v>27</v>
      </c>
      <c r="J75" s="16" t="s">
        <v>371</v>
      </c>
      <c r="K75" s="16" t="s">
        <v>50</v>
      </c>
      <c r="L75" s="17">
        <v>45883</v>
      </c>
      <c r="M75" s="9"/>
      <c r="N75" s="9" t="s">
        <v>372</v>
      </c>
      <c r="O75" s="11" t="s">
        <v>31</v>
      </c>
      <c r="P75" s="9" t="s">
        <v>373</v>
      </c>
      <c r="Q75" s="11"/>
    </row>
    <row r="76" spans="1:17" ht="66" x14ac:dyDescent="0.25">
      <c r="A76" s="13">
        <v>65</v>
      </c>
      <c r="B76" s="16" t="s">
        <v>374</v>
      </c>
      <c r="C76" s="9">
        <v>16</v>
      </c>
      <c r="D76" s="11" t="str">
        <f t="shared" ref="D76:D106" ca="1" si="1">C76+DATEDIF(G76,TODAY(),"y")&amp;" "&amp;"বছর"&amp;" "&amp;DATEDIF(G76,TODAY(),"ym")&amp;" "&amp;"মাস"&amp;" "&amp;DATEDIF(G76,TODAY(),"md")&amp;" "&amp;"দিন"</f>
        <v>17 বছর 1 মাস 5 দিন</v>
      </c>
      <c r="E76" s="16" t="s">
        <v>375</v>
      </c>
      <c r="F76" s="9">
        <v>28634</v>
      </c>
      <c r="G76" s="17">
        <v>45727</v>
      </c>
      <c r="H76" s="16" t="s">
        <v>370</v>
      </c>
      <c r="I76" s="9" t="s">
        <v>27</v>
      </c>
      <c r="J76" s="16" t="s">
        <v>371</v>
      </c>
      <c r="K76" s="16" t="s">
        <v>50</v>
      </c>
      <c r="L76" s="17">
        <v>45883</v>
      </c>
      <c r="M76" s="9"/>
      <c r="N76" s="9" t="s">
        <v>376</v>
      </c>
      <c r="O76" s="11" t="s">
        <v>31</v>
      </c>
      <c r="P76" s="9" t="s">
        <v>377</v>
      </c>
      <c r="Q76" s="11"/>
    </row>
    <row r="77" spans="1:17" ht="115.5" x14ac:dyDescent="0.25">
      <c r="A77" s="13">
        <v>66</v>
      </c>
      <c r="B77" s="11" t="s">
        <v>378</v>
      </c>
      <c r="C77" s="14">
        <v>15</v>
      </c>
      <c r="D77" s="11" t="str">
        <f t="shared" ca="1" si="1"/>
        <v>16 বছর 0 মাস 28 দিন</v>
      </c>
      <c r="E77" s="11" t="s">
        <v>379</v>
      </c>
      <c r="F77" s="14">
        <v>28724</v>
      </c>
      <c r="G77" s="20">
        <v>45735</v>
      </c>
      <c r="H77" s="11" t="s">
        <v>380</v>
      </c>
      <c r="I77" s="11" t="s">
        <v>202</v>
      </c>
      <c r="J77" s="11" t="s">
        <v>381</v>
      </c>
      <c r="K77" s="11" t="s">
        <v>132</v>
      </c>
      <c r="L77" s="11"/>
      <c r="M77" s="9"/>
      <c r="N77" s="9" t="s">
        <v>30</v>
      </c>
      <c r="O77" s="11" t="s">
        <v>31</v>
      </c>
      <c r="P77" s="9" t="s">
        <v>69</v>
      </c>
      <c r="Q77" s="11"/>
    </row>
    <row r="78" spans="1:17" ht="66" x14ac:dyDescent="0.25">
      <c r="A78" s="13">
        <v>67</v>
      </c>
      <c r="B78" s="16" t="s">
        <v>382</v>
      </c>
      <c r="C78" s="9" t="s">
        <v>352</v>
      </c>
      <c r="D78" s="11" t="e">
        <f t="shared" ca="1" si="1"/>
        <v>#VALUE!</v>
      </c>
      <c r="E78" s="16" t="s">
        <v>383</v>
      </c>
      <c r="F78" s="9">
        <v>28758</v>
      </c>
      <c r="G78" s="17">
        <v>45738</v>
      </c>
      <c r="H78" s="16" t="s">
        <v>384</v>
      </c>
      <c r="I78" s="9" t="s">
        <v>27</v>
      </c>
      <c r="J78" s="16" t="s">
        <v>355</v>
      </c>
      <c r="K78" s="16" t="s">
        <v>50</v>
      </c>
      <c r="L78" s="9"/>
      <c r="M78" s="9"/>
      <c r="N78" s="9" t="s">
        <v>62</v>
      </c>
      <c r="O78" s="11" t="s">
        <v>110</v>
      </c>
      <c r="P78" s="9" t="s">
        <v>385</v>
      </c>
      <c r="Q78" s="11"/>
    </row>
    <row r="79" spans="1:17" ht="66" x14ac:dyDescent="0.25">
      <c r="A79" s="13">
        <v>68</v>
      </c>
      <c r="B79" s="16" t="s">
        <v>386</v>
      </c>
      <c r="C79" s="14">
        <v>15</v>
      </c>
      <c r="D79" s="11" t="str">
        <f t="shared" ca="1" si="1"/>
        <v>16 বছর 0 মাস 23 দিন</v>
      </c>
      <c r="E79" s="16" t="s">
        <v>387</v>
      </c>
      <c r="F79" s="9">
        <v>28776</v>
      </c>
      <c r="G79" s="17">
        <v>45740</v>
      </c>
      <c r="H79" s="16" t="s">
        <v>388</v>
      </c>
      <c r="I79" s="9" t="s">
        <v>48</v>
      </c>
      <c r="J79" s="16" t="s">
        <v>389</v>
      </c>
      <c r="K79" s="16" t="s">
        <v>50</v>
      </c>
      <c r="L79" s="9" t="s">
        <v>390</v>
      </c>
      <c r="M79" s="9"/>
      <c r="N79" s="9" t="s">
        <v>271</v>
      </c>
      <c r="O79" s="11" t="s">
        <v>31</v>
      </c>
      <c r="P79" s="9" t="s">
        <v>391</v>
      </c>
      <c r="Q79" s="11"/>
    </row>
    <row r="80" spans="1:17" ht="66" x14ac:dyDescent="0.25">
      <c r="A80" s="13">
        <v>69</v>
      </c>
      <c r="B80" s="16" t="s">
        <v>392</v>
      </c>
      <c r="C80" s="14">
        <v>15</v>
      </c>
      <c r="D80" s="11" t="str">
        <f t="shared" ca="1" si="1"/>
        <v>16 বছর 0 মাস 19 দিন</v>
      </c>
      <c r="E80" s="16" t="s">
        <v>393</v>
      </c>
      <c r="F80" s="9">
        <v>28804</v>
      </c>
      <c r="G80" s="17">
        <v>45744</v>
      </c>
      <c r="H80" s="16" t="s">
        <v>394</v>
      </c>
      <c r="I80" s="9" t="s">
        <v>27</v>
      </c>
      <c r="J80" s="16" t="s">
        <v>395</v>
      </c>
      <c r="K80" s="16" t="s">
        <v>74</v>
      </c>
      <c r="L80" s="17">
        <v>45928</v>
      </c>
      <c r="M80" s="9"/>
      <c r="N80" s="9" t="s">
        <v>396</v>
      </c>
      <c r="O80" s="11" t="s">
        <v>31</v>
      </c>
      <c r="P80" s="9" t="s">
        <v>397</v>
      </c>
      <c r="Q80" s="11"/>
    </row>
    <row r="81" spans="1:17" ht="82.5" x14ac:dyDescent="0.25">
      <c r="A81" s="13">
        <v>70</v>
      </c>
      <c r="B81" s="11" t="s">
        <v>398</v>
      </c>
      <c r="C81" s="9">
        <v>14</v>
      </c>
      <c r="D81" s="11" t="str">
        <f t="shared" ca="1" si="1"/>
        <v>15 বছর 0 মাস 14 দিন</v>
      </c>
      <c r="E81" s="11" t="s">
        <v>399</v>
      </c>
      <c r="F81" s="9">
        <v>28821</v>
      </c>
      <c r="G81" s="15">
        <v>45749</v>
      </c>
      <c r="H81" s="11" t="s">
        <v>400</v>
      </c>
      <c r="I81" s="9" t="s">
        <v>27</v>
      </c>
      <c r="J81" s="11" t="s">
        <v>401</v>
      </c>
      <c r="K81" s="11" t="s">
        <v>50</v>
      </c>
      <c r="L81" s="15">
        <v>45810</v>
      </c>
      <c r="M81" s="9"/>
      <c r="N81" s="9" t="s">
        <v>30</v>
      </c>
      <c r="O81" s="11" t="s">
        <v>31</v>
      </c>
      <c r="P81" s="9" t="s">
        <v>402</v>
      </c>
      <c r="Q81" s="11"/>
    </row>
    <row r="82" spans="1:17" ht="66" x14ac:dyDescent="0.25">
      <c r="A82" s="13">
        <v>71</v>
      </c>
      <c r="B82" s="16" t="s">
        <v>403</v>
      </c>
      <c r="C82" s="9">
        <v>16</v>
      </c>
      <c r="D82" s="11" t="str">
        <f t="shared" ca="1" si="1"/>
        <v>17 বছর 0 মাস 13 দিন</v>
      </c>
      <c r="E82" s="16" t="s">
        <v>404</v>
      </c>
      <c r="F82" s="9">
        <v>28825</v>
      </c>
      <c r="G82" s="17">
        <v>45750</v>
      </c>
      <c r="H82" s="16" t="s">
        <v>405</v>
      </c>
      <c r="I82" s="9" t="s">
        <v>48</v>
      </c>
      <c r="J82" s="16" t="s">
        <v>184</v>
      </c>
      <c r="K82" s="16" t="s">
        <v>50</v>
      </c>
      <c r="L82" s="17">
        <v>45771</v>
      </c>
      <c r="M82" s="9"/>
      <c r="N82" s="9" t="s">
        <v>406</v>
      </c>
      <c r="O82" s="11" t="s">
        <v>34</v>
      </c>
      <c r="P82" s="9" t="s">
        <v>407</v>
      </c>
      <c r="Q82" s="11"/>
    </row>
    <row r="83" spans="1:17" ht="66" x14ac:dyDescent="0.25">
      <c r="A83" s="13">
        <v>72</v>
      </c>
      <c r="B83" s="16" t="s">
        <v>408</v>
      </c>
      <c r="C83" s="9">
        <v>12</v>
      </c>
      <c r="D83" s="11" t="str">
        <f t="shared" ca="1" si="1"/>
        <v>13 বছর 0 মাস 11 দিন</v>
      </c>
      <c r="E83" s="16" t="s">
        <v>409</v>
      </c>
      <c r="F83" s="9">
        <v>28838</v>
      </c>
      <c r="G83" s="17">
        <v>45752</v>
      </c>
      <c r="H83" s="16" t="s">
        <v>410</v>
      </c>
      <c r="I83" s="9" t="s">
        <v>48</v>
      </c>
      <c r="J83" s="16" t="s">
        <v>411</v>
      </c>
      <c r="K83" s="16" t="s">
        <v>50</v>
      </c>
      <c r="L83" s="17">
        <v>45824</v>
      </c>
      <c r="M83" s="9"/>
      <c r="N83" s="9" t="s">
        <v>308</v>
      </c>
      <c r="O83" s="11" t="s">
        <v>31</v>
      </c>
      <c r="P83" s="16" t="s">
        <v>412</v>
      </c>
      <c r="Q83" s="11"/>
    </row>
    <row r="84" spans="1:17" ht="66" x14ac:dyDescent="0.25">
      <c r="A84" s="13">
        <v>73</v>
      </c>
      <c r="B84" s="16" t="s">
        <v>413</v>
      </c>
      <c r="C84" s="14">
        <v>15</v>
      </c>
      <c r="D84" s="11" t="str">
        <f t="shared" ca="1" si="1"/>
        <v>16 বছর 0 মাস 10 দিন</v>
      </c>
      <c r="E84" s="16" t="s">
        <v>414</v>
      </c>
      <c r="F84" s="9">
        <v>28849</v>
      </c>
      <c r="G84" s="17">
        <v>45753</v>
      </c>
      <c r="H84" s="16" t="s">
        <v>415</v>
      </c>
      <c r="I84" s="9" t="s">
        <v>48</v>
      </c>
      <c r="J84" s="16" t="s">
        <v>395</v>
      </c>
      <c r="K84" s="16" t="s">
        <v>50</v>
      </c>
      <c r="L84" s="17">
        <v>45916</v>
      </c>
      <c r="M84" s="9"/>
      <c r="N84" s="9" t="s">
        <v>416</v>
      </c>
      <c r="O84" s="11" t="s">
        <v>31</v>
      </c>
      <c r="P84" s="9" t="s">
        <v>417</v>
      </c>
      <c r="Q84" s="11"/>
    </row>
    <row r="85" spans="1:17" ht="66" x14ac:dyDescent="0.25">
      <c r="A85" s="13">
        <v>74</v>
      </c>
      <c r="B85" s="11" t="s">
        <v>418</v>
      </c>
      <c r="C85" s="14">
        <v>15</v>
      </c>
      <c r="D85" s="11" t="str">
        <f t="shared" ca="1" si="1"/>
        <v>16 বছর 0 মাস 9 দিন</v>
      </c>
      <c r="E85" s="11" t="s">
        <v>419</v>
      </c>
      <c r="F85" s="14">
        <v>28853</v>
      </c>
      <c r="G85" s="20">
        <v>45754</v>
      </c>
      <c r="H85" s="11" t="s">
        <v>420</v>
      </c>
      <c r="I85" s="11" t="s">
        <v>292</v>
      </c>
      <c r="J85" s="11" t="s">
        <v>421</v>
      </c>
      <c r="K85" s="16" t="s">
        <v>50</v>
      </c>
      <c r="L85" s="17">
        <v>45774</v>
      </c>
      <c r="M85" s="9"/>
      <c r="N85" s="9" t="s">
        <v>30</v>
      </c>
      <c r="O85" s="11" t="s">
        <v>31</v>
      </c>
      <c r="P85" s="11" t="s">
        <v>294</v>
      </c>
      <c r="Q85" s="11"/>
    </row>
    <row r="86" spans="1:17" ht="66" x14ac:dyDescent="0.25">
      <c r="A86" s="13">
        <v>75</v>
      </c>
      <c r="B86" s="16" t="s">
        <v>422</v>
      </c>
      <c r="C86" s="9">
        <v>16</v>
      </c>
      <c r="D86" s="11" t="str">
        <f t="shared" ca="1" si="1"/>
        <v>17 বছর 0 মাস 9 দিন</v>
      </c>
      <c r="E86" s="16" t="s">
        <v>423</v>
      </c>
      <c r="F86" s="9">
        <v>28858</v>
      </c>
      <c r="G86" s="17">
        <v>45754</v>
      </c>
      <c r="H86" s="16" t="s">
        <v>424</v>
      </c>
      <c r="I86" s="9" t="s">
        <v>48</v>
      </c>
      <c r="J86" s="16" t="s">
        <v>184</v>
      </c>
      <c r="K86" s="16" t="s">
        <v>50</v>
      </c>
      <c r="L86" s="9" t="s">
        <v>425</v>
      </c>
      <c r="M86" s="9"/>
      <c r="N86" s="9" t="s">
        <v>245</v>
      </c>
      <c r="O86" s="11" t="s">
        <v>100</v>
      </c>
      <c r="P86" s="9" t="s">
        <v>94</v>
      </c>
      <c r="Q86" s="11"/>
    </row>
    <row r="87" spans="1:17" s="18" customFormat="1" ht="66" x14ac:dyDescent="0.25">
      <c r="A87" s="13">
        <v>76</v>
      </c>
      <c r="B87" s="16" t="s">
        <v>426</v>
      </c>
      <c r="C87" s="9" t="s">
        <v>352</v>
      </c>
      <c r="D87" s="11" t="e">
        <f t="shared" ca="1" si="1"/>
        <v>#VALUE!</v>
      </c>
      <c r="E87" s="16" t="s">
        <v>427</v>
      </c>
      <c r="F87" s="9">
        <v>28865</v>
      </c>
      <c r="G87" s="17">
        <v>45756</v>
      </c>
      <c r="H87" s="16" t="s">
        <v>428</v>
      </c>
      <c r="I87" s="9" t="s">
        <v>27</v>
      </c>
      <c r="J87" s="16" t="s">
        <v>355</v>
      </c>
      <c r="K87" s="16" t="s">
        <v>50</v>
      </c>
      <c r="L87" s="17">
        <v>45783</v>
      </c>
      <c r="M87" s="9"/>
      <c r="N87" s="9" t="s">
        <v>216</v>
      </c>
      <c r="O87" s="11" t="s">
        <v>34</v>
      </c>
      <c r="P87" s="9" t="s">
        <v>373</v>
      </c>
      <c r="Q87" s="11"/>
    </row>
    <row r="88" spans="1:17" ht="66" x14ac:dyDescent="0.25">
      <c r="A88" s="13">
        <v>77</v>
      </c>
      <c r="B88" s="16" t="s">
        <v>429</v>
      </c>
      <c r="C88" s="9">
        <v>17</v>
      </c>
      <c r="D88" s="11" t="str">
        <f t="shared" ca="1" si="1"/>
        <v>18 বছর 0 মাস 4 দিন</v>
      </c>
      <c r="E88" s="11" t="s">
        <v>430</v>
      </c>
      <c r="F88" s="14">
        <v>28890</v>
      </c>
      <c r="G88" s="17">
        <v>45759</v>
      </c>
      <c r="H88" s="11" t="s">
        <v>431</v>
      </c>
      <c r="I88" s="11" t="s">
        <v>432</v>
      </c>
      <c r="J88" s="11" t="s">
        <v>433</v>
      </c>
      <c r="K88" s="16" t="s">
        <v>74</v>
      </c>
      <c r="L88" s="23">
        <v>45777</v>
      </c>
      <c r="M88" s="9"/>
      <c r="N88" s="9" t="s">
        <v>30</v>
      </c>
      <c r="O88" s="11" t="s">
        <v>100</v>
      </c>
      <c r="P88" s="11" t="s">
        <v>434</v>
      </c>
      <c r="Q88" s="11"/>
    </row>
    <row r="89" spans="1:17" ht="66" x14ac:dyDescent="0.25">
      <c r="A89" s="13">
        <v>78</v>
      </c>
      <c r="B89" s="16" t="s">
        <v>435</v>
      </c>
      <c r="C89" s="9">
        <v>17</v>
      </c>
      <c r="D89" s="11" t="str">
        <f t="shared" ca="1" si="1"/>
        <v>18 বছর 0 মাস 2 দিন</v>
      </c>
      <c r="E89" s="16" t="s">
        <v>436</v>
      </c>
      <c r="F89" s="9">
        <v>28912</v>
      </c>
      <c r="G89" s="17">
        <v>45761</v>
      </c>
      <c r="H89" s="16" t="s">
        <v>437</v>
      </c>
      <c r="I89" s="9" t="s">
        <v>27</v>
      </c>
      <c r="J89" s="16" t="s">
        <v>438</v>
      </c>
      <c r="K89" s="16" t="s">
        <v>439</v>
      </c>
      <c r="L89" s="17">
        <v>45762</v>
      </c>
      <c r="M89" s="9"/>
      <c r="N89" s="9" t="s">
        <v>440</v>
      </c>
      <c r="O89" s="11" t="s">
        <v>31</v>
      </c>
      <c r="P89" s="9" t="s">
        <v>441</v>
      </c>
      <c r="Q89" s="11"/>
    </row>
    <row r="90" spans="1:17" ht="66" x14ac:dyDescent="0.25">
      <c r="A90" s="13">
        <v>79</v>
      </c>
      <c r="B90" s="16" t="s">
        <v>442</v>
      </c>
      <c r="C90" s="9">
        <v>14</v>
      </c>
      <c r="D90" s="11" t="str">
        <f t="shared" ca="1" si="1"/>
        <v>15 বছর 0 মাস 0 দিন</v>
      </c>
      <c r="E90" s="16" t="s">
        <v>443</v>
      </c>
      <c r="F90" s="9">
        <v>28919</v>
      </c>
      <c r="G90" s="17">
        <v>45763</v>
      </c>
      <c r="H90" s="16" t="s">
        <v>444</v>
      </c>
      <c r="I90" s="9" t="s">
        <v>48</v>
      </c>
      <c r="J90" s="16" t="s">
        <v>445</v>
      </c>
      <c r="K90" s="16" t="s">
        <v>50</v>
      </c>
      <c r="L90" s="17">
        <v>45798</v>
      </c>
      <c r="M90" s="9"/>
      <c r="N90" s="9" t="s">
        <v>245</v>
      </c>
      <c r="O90" s="11" t="s">
        <v>31</v>
      </c>
      <c r="P90" s="9" t="s">
        <v>180</v>
      </c>
      <c r="Q90" s="11"/>
    </row>
    <row r="91" spans="1:17" ht="66" x14ac:dyDescent="0.25">
      <c r="A91" s="13">
        <v>80</v>
      </c>
      <c r="B91" s="16" t="s">
        <v>446</v>
      </c>
      <c r="C91" s="9">
        <v>17</v>
      </c>
      <c r="D91" s="11" t="str">
        <f t="shared" ca="1" si="1"/>
        <v>17 বছর 11 মাস 30 দিন</v>
      </c>
      <c r="E91" s="16" t="s">
        <v>447</v>
      </c>
      <c r="F91" s="9">
        <v>28925</v>
      </c>
      <c r="G91" s="17">
        <v>45764</v>
      </c>
      <c r="H91" s="16" t="s">
        <v>448</v>
      </c>
      <c r="I91" s="9" t="s">
        <v>48</v>
      </c>
      <c r="J91" s="16" t="s">
        <v>449</v>
      </c>
      <c r="K91" s="16" t="s">
        <v>50</v>
      </c>
      <c r="L91" s="17">
        <v>45771</v>
      </c>
      <c r="M91" s="9"/>
      <c r="N91" s="9" t="s">
        <v>330</v>
      </c>
      <c r="O91" s="11" t="s">
        <v>34</v>
      </c>
      <c r="P91" s="9" t="s">
        <v>94</v>
      </c>
      <c r="Q91" s="11"/>
    </row>
    <row r="92" spans="1:17" ht="66" x14ac:dyDescent="0.25">
      <c r="A92" s="13">
        <v>81</v>
      </c>
      <c r="B92" s="11" t="s">
        <v>450</v>
      </c>
      <c r="C92" s="9">
        <v>16</v>
      </c>
      <c r="D92" s="11" t="str">
        <f t="shared" ca="1" si="1"/>
        <v>16 বছর 11 মাস 30 দিন</v>
      </c>
      <c r="E92" s="11" t="s">
        <v>451</v>
      </c>
      <c r="F92" s="14">
        <v>28930</v>
      </c>
      <c r="G92" s="20">
        <v>45764</v>
      </c>
      <c r="H92" s="11" t="s">
        <v>452</v>
      </c>
      <c r="I92" s="11" t="s">
        <v>292</v>
      </c>
      <c r="J92" s="11" t="s">
        <v>453</v>
      </c>
      <c r="K92" s="16" t="s">
        <v>74</v>
      </c>
      <c r="L92" s="17">
        <v>45798</v>
      </c>
      <c r="M92" s="9"/>
      <c r="N92" s="9" t="s">
        <v>454</v>
      </c>
      <c r="O92" s="11" t="s">
        <v>34</v>
      </c>
      <c r="P92" s="11" t="s">
        <v>455</v>
      </c>
      <c r="Q92" s="11"/>
    </row>
    <row r="93" spans="1:17" ht="66" x14ac:dyDescent="0.25">
      <c r="A93" s="13">
        <v>82</v>
      </c>
      <c r="B93" s="11" t="s">
        <v>456</v>
      </c>
      <c r="C93" s="9">
        <v>16</v>
      </c>
      <c r="D93" s="11" t="str">
        <f t="shared" ca="1" si="1"/>
        <v>16 বছর 11 মাস 29 দিন</v>
      </c>
      <c r="E93" s="11" t="s">
        <v>457</v>
      </c>
      <c r="F93" s="14">
        <v>28948</v>
      </c>
      <c r="G93" s="15">
        <v>45765</v>
      </c>
      <c r="H93" s="11" t="s">
        <v>458</v>
      </c>
      <c r="I93" s="11" t="s">
        <v>292</v>
      </c>
      <c r="J93" s="11" t="s">
        <v>56</v>
      </c>
      <c r="K93" s="16" t="s">
        <v>74</v>
      </c>
      <c r="L93" s="17">
        <v>45915</v>
      </c>
      <c r="M93" s="9"/>
      <c r="N93" s="9" t="s">
        <v>30</v>
      </c>
      <c r="O93" s="11" t="s">
        <v>34</v>
      </c>
      <c r="P93" s="11" t="s">
        <v>459</v>
      </c>
      <c r="Q93" s="11"/>
    </row>
    <row r="94" spans="1:17" ht="66" x14ac:dyDescent="0.25">
      <c r="A94" s="13">
        <v>83</v>
      </c>
      <c r="B94" s="16" t="s">
        <v>460</v>
      </c>
      <c r="C94" s="9">
        <v>12</v>
      </c>
      <c r="D94" s="11" t="str">
        <f t="shared" ca="1" si="1"/>
        <v>12 বছর 11 মাস 25 দিন</v>
      </c>
      <c r="E94" s="16" t="s">
        <v>461</v>
      </c>
      <c r="F94" s="9">
        <v>28978</v>
      </c>
      <c r="G94" s="17">
        <v>45769</v>
      </c>
      <c r="H94" s="16" t="s">
        <v>462</v>
      </c>
      <c r="I94" s="9" t="s">
        <v>27</v>
      </c>
      <c r="J94" s="16" t="s">
        <v>463</v>
      </c>
      <c r="K94" s="16" t="s">
        <v>50</v>
      </c>
      <c r="L94" s="17">
        <v>45789</v>
      </c>
      <c r="M94" s="9"/>
      <c r="N94" s="9" t="s">
        <v>440</v>
      </c>
      <c r="O94" s="11" t="s">
        <v>31</v>
      </c>
      <c r="P94" s="16" t="s">
        <v>158</v>
      </c>
      <c r="Q94" s="11" t="s">
        <v>464</v>
      </c>
    </row>
    <row r="95" spans="1:17" ht="66" x14ac:dyDescent="0.25">
      <c r="A95" s="13">
        <v>84</v>
      </c>
      <c r="B95" s="16" t="s">
        <v>465</v>
      </c>
      <c r="C95" s="9" t="s">
        <v>352</v>
      </c>
      <c r="D95" s="11" t="e">
        <f t="shared" ca="1" si="1"/>
        <v>#VALUE!</v>
      </c>
      <c r="E95" s="16" t="s">
        <v>466</v>
      </c>
      <c r="F95" s="9">
        <v>28992</v>
      </c>
      <c r="G95" s="17">
        <v>45772</v>
      </c>
      <c r="H95" s="16" t="s">
        <v>467</v>
      </c>
      <c r="I95" s="9" t="s">
        <v>27</v>
      </c>
      <c r="J95" s="16" t="s">
        <v>468</v>
      </c>
      <c r="K95" s="16" t="s">
        <v>50</v>
      </c>
      <c r="L95" s="17">
        <v>45810</v>
      </c>
      <c r="M95" s="9"/>
      <c r="N95" s="9" t="s">
        <v>93</v>
      </c>
      <c r="O95" s="11" t="s">
        <v>51</v>
      </c>
      <c r="P95" s="9" t="s">
        <v>373</v>
      </c>
      <c r="Q95" s="11"/>
    </row>
    <row r="96" spans="1:17" ht="66" x14ac:dyDescent="0.25">
      <c r="A96" s="13">
        <v>85</v>
      </c>
      <c r="B96" s="16" t="s">
        <v>469</v>
      </c>
      <c r="C96" s="9">
        <v>16</v>
      </c>
      <c r="D96" s="11" t="str">
        <f t="shared" ca="1" si="1"/>
        <v>16 বছর 11 মাস 22 দিন</v>
      </c>
      <c r="E96" s="16" t="s">
        <v>470</v>
      </c>
      <c r="F96" s="9">
        <v>28995</v>
      </c>
      <c r="G96" s="17">
        <v>45772</v>
      </c>
      <c r="H96" s="16" t="s">
        <v>471</v>
      </c>
      <c r="I96" s="9" t="s">
        <v>27</v>
      </c>
      <c r="J96" s="16" t="s">
        <v>472</v>
      </c>
      <c r="K96" s="16" t="s">
        <v>50</v>
      </c>
      <c r="L96" s="17">
        <v>45811</v>
      </c>
      <c r="M96" s="9"/>
      <c r="N96" s="9" t="s">
        <v>191</v>
      </c>
      <c r="O96" s="11" t="s">
        <v>34</v>
      </c>
      <c r="P96" s="9" t="s">
        <v>473</v>
      </c>
      <c r="Q96" s="11"/>
    </row>
    <row r="97" spans="1:17" ht="66" x14ac:dyDescent="0.25">
      <c r="A97" s="13">
        <v>86</v>
      </c>
      <c r="B97" s="16" t="s">
        <v>474</v>
      </c>
      <c r="C97" s="14">
        <v>15</v>
      </c>
      <c r="D97" s="11" t="str">
        <f t="shared" ca="1" si="1"/>
        <v>15 বছর 11 মাস 19 দিন</v>
      </c>
      <c r="E97" s="11" t="s">
        <v>475</v>
      </c>
      <c r="F97" s="14">
        <v>29031</v>
      </c>
      <c r="G97" s="17">
        <v>45775</v>
      </c>
      <c r="H97" s="11" t="s">
        <v>476</v>
      </c>
      <c r="I97" s="9" t="s">
        <v>27</v>
      </c>
      <c r="J97" s="11" t="s">
        <v>477</v>
      </c>
      <c r="K97" s="16" t="s">
        <v>50</v>
      </c>
      <c r="L97" s="15">
        <v>45951</v>
      </c>
      <c r="M97" s="9"/>
      <c r="N97" s="9" t="s">
        <v>30</v>
      </c>
      <c r="O97" s="11" t="s">
        <v>31</v>
      </c>
      <c r="P97" s="9" t="s">
        <v>478</v>
      </c>
      <c r="Q97" s="11"/>
    </row>
    <row r="98" spans="1:17" ht="82.5" x14ac:dyDescent="0.25">
      <c r="A98" s="13">
        <v>87</v>
      </c>
      <c r="B98" s="16" t="s">
        <v>479</v>
      </c>
      <c r="C98" s="9">
        <v>16</v>
      </c>
      <c r="D98" s="11" t="str">
        <f t="shared" ca="1" si="1"/>
        <v>16 বছর 11 মাস 19 দিন</v>
      </c>
      <c r="E98" s="11" t="s">
        <v>480</v>
      </c>
      <c r="F98" s="14">
        <v>29032</v>
      </c>
      <c r="G98" s="17">
        <v>45775</v>
      </c>
      <c r="H98" s="11" t="s">
        <v>476</v>
      </c>
      <c r="I98" s="9" t="s">
        <v>27</v>
      </c>
      <c r="J98" s="11" t="s">
        <v>477</v>
      </c>
      <c r="K98" s="16" t="s">
        <v>50</v>
      </c>
      <c r="L98" s="15">
        <v>45951</v>
      </c>
      <c r="M98" s="9"/>
      <c r="N98" s="9" t="s">
        <v>30</v>
      </c>
      <c r="O98" s="11" t="s">
        <v>51</v>
      </c>
      <c r="P98" s="9" t="s">
        <v>481</v>
      </c>
      <c r="Q98" s="11"/>
    </row>
    <row r="99" spans="1:17" ht="66" x14ac:dyDescent="0.25">
      <c r="A99" s="13">
        <v>88</v>
      </c>
      <c r="B99" s="16" t="s">
        <v>482</v>
      </c>
      <c r="C99" s="9">
        <v>17</v>
      </c>
      <c r="D99" s="11" t="str">
        <f t="shared" ca="1" si="1"/>
        <v>17 বছর 11 মাস 18 দিন</v>
      </c>
      <c r="E99" s="16" t="s">
        <v>483</v>
      </c>
      <c r="F99" s="9">
        <v>29044</v>
      </c>
      <c r="G99" s="17">
        <v>45776</v>
      </c>
      <c r="H99" s="16" t="s">
        <v>484</v>
      </c>
      <c r="I99" s="9" t="s">
        <v>48</v>
      </c>
      <c r="J99" s="16" t="s">
        <v>485</v>
      </c>
      <c r="K99" s="16" t="s">
        <v>50</v>
      </c>
      <c r="L99" s="17">
        <v>45838</v>
      </c>
      <c r="M99" s="9"/>
      <c r="N99" s="9" t="s">
        <v>345</v>
      </c>
      <c r="O99" s="11" t="s">
        <v>34</v>
      </c>
      <c r="P99" s="9" t="s">
        <v>69</v>
      </c>
      <c r="Q99" s="11"/>
    </row>
    <row r="100" spans="1:17" ht="66" x14ac:dyDescent="0.25">
      <c r="A100" s="13">
        <v>89</v>
      </c>
      <c r="B100" s="16" t="s">
        <v>486</v>
      </c>
      <c r="C100" s="9">
        <v>16</v>
      </c>
      <c r="D100" s="11" t="str">
        <f t="shared" ca="1" si="1"/>
        <v>16 বছর 11 মাস 18 দিন</v>
      </c>
      <c r="E100" s="16" t="s">
        <v>487</v>
      </c>
      <c r="F100" s="9">
        <v>29045</v>
      </c>
      <c r="G100" s="17">
        <v>45776</v>
      </c>
      <c r="H100" s="16" t="s">
        <v>484</v>
      </c>
      <c r="I100" s="9" t="s">
        <v>48</v>
      </c>
      <c r="J100" s="16" t="s">
        <v>485</v>
      </c>
      <c r="K100" s="16" t="s">
        <v>50</v>
      </c>
      <c r="L100" s="17">
        <v>45838</v>
      </c>
      <c r="M100" s="9"/>
      <c r="N100" s="9" t="s">
        <v>308</v>
      </c>
      <c r="O100" s="11" t="s">
        <v>34</v>
      </c>
      <c r="P100" s="9" t="s">
        <v>101</v>
      </c>
      <c r="Q100" s="11"/>
    </row>
    <row r="101" spans="1:17" ht="66" x14ac:dyDescent="0.25">
      <c r="A101" s="13">
        <v>90</v>
      </c>
      <c r="B101" s="16" t="s">
        <v>488</v>
      </c>
      <c r="C101" s="14">
        <v>15</v>
      </c>
      <c r="D101" s="11" t="str">
        <f t="shared" ca="1" si="1"/>
        <v>15 বছর 11 মাস 14 দিন</v>
      </c>
      <c r="E101" s="16" t="s">
        <v>489</v>
      </c>
      <c r="F101" s="9">
        <v>29084</v>
      </c>
      <c r="G101" s="17">
        <v>45779</v>
      </c>
      <c r="H101" s="16" t="s">
        <v>490</v>
      </c>
      <c r="I101" s="9" t="s">
        <v>48</v>
      </c>
      <c r="J101" s="16" t="s">
        <v>463</v>
      </c>
      <c r="K101" s="16" t="s">
        <v>50</v>
      </c>
      <c r="L101" s="17">
        <v>45793</v>
      </c>
      <c r="M101" s="9"/>
      <c r="N101" s="9" t="s">
        <v>491</v>
      </c>
      <c r="O101" s="11" t="s">
        <v>31</v>
      </c>
      <c r="P101" s="9" t="s">
        <v>94</v>
      </c>
      <c r="Q101" s="11"/>
    </row>
    <row r="102" spans="1:17" ht="66" x14ac:dyDescent="0.25">
      <c r="A102" s="13">
        <v>91</v>
      </c>
      <c r="B102" s="16" t="s">
        <v>492</v>
      </c>
      <c r="C102" s="14">
        <v>15</v>
      </c>
      <c r="D102" s="11" t="str">
        <f t="shared" ca="1" si="1"/>
        <v>15 বছর 11 মাস 13 দিন</v>
      </c>
      <c r="E102" s="11" t="s">
        <v>493</v>
      </c>
      <c r="F102" s="14">
        <v>29094</v>
      </c>
      <c r="G102" s="17">
        <v>45780</v>
      </c>
      <c r="H102" s="11" t="s">
        <v>494</v>
      </c>
      <c r="I102" s="11" t="s">
        <v>265</v>
      </c>
      <c r="J102" s="11" t="s">
        <v>495</v>
      </c>
      <c r="K102" s="16" t="s">
        <v>50</v>
      </c>
      <c r="L102" s="23">
        <v>45805</v>
      </c>
      <c r="M102" s="9"/>
      <c r="N102" s="9" t="s">
        <v>30</v>
      </c>
      <c r="O102" s="11" t="s">
        <v>31</v>
      </c>
      <c r="P102" s="11" t="s">
        <v>174</v>
      </c>
      <c r="Q102" s="11"/>
    </row>
    <row r="103" spans="1:17" ht="66" x14ac:dyDescent="0.25">
      <c r="A103" s="13">
        <v>92</v>
      </c>
      <c r="B103" s="11" t="s">
        <v>496</v>
      </c>
      <c r="C103" s="9">
        <v>13</v>
      </c>
      <c r="D103" s="11" t="str">
        <f t="shared" ca="1" si="1"/>
        <v>13 বছর 11 মাস 11 দিন</v>
      </c>
      <c r="E103" s="11" t="s">
        <v>497</v>
      </c>
      <c r="F103" s="14">
        <v>29104</v>
      </c>
      <c r="G103" s="20">
        <v>45782</v>
      </c>
      <c r="H103" s="11" t="s">
        <v>498</v>
      </c>
      <c r="I103" s="11" t="s">
        <v>265</v>
      </c>
      <c r="J103" s="11" t="s">
        <v>499</v>
      </c>
      <c r="K103" s="16" t="s">
        <v>50</v>
      </c>
      <c r="L103" s="17">
        <v>45776</v>
      </c>
      <c r="M103" s="9"/>
      <c r="N103" s="9" t="s">
        <v>30</v>
      </c>
      <c r="O103" s="11" t="s">
        <v>31</v>
      </c>
      <c r="P103" s="11" t="s">
        <v>174</v>
      </c>
      <c r="Q103" s="11"/>
    </row>
    <row r="104" spans="1:17" ht="66" x14ac:dyDescent="0.25">
      <c r="A104" s="13">
        <v>93</v>
      </c>
      <c r="B104" s="16" t="s">
        <v>500</v>
      </c>
      <c r="C104" s="9" t="s">
        <v>352</v>
      </c>
      <c r="D104" s="11" t="e">
        <f t="shared" ca="1" si="1"/>
        <v>#VALUE!</v>
      </c>
      <c r="E104" s="11" t="s">
        <v>501</v>
      </c>
      <c r="F104" s="14">
        <v>29105</v>
      </c>
      <c r="G104" s="17">
        <v>45782</v>
      </c>
      <c r="H104" s="11" t="s">
        <v>502</v>
      </c>
      <c r="I104" s="9" t="s">
        <v>27</v>
      </c>
      <c r="J104" s="11" t="s">
        <v>503</v>
      </c>
      <c r="K104" s="16" t="s">
        <v>50</v>
      </c>
      <c r="L104" s="11"/>
      <c r="M104" s="9"/>
      <c r="N104" s="9" t="s">
        <v>30</v>
      </c>
      <c r="O104" s="11" t="s">
        <v>34</v>
      </c>
      <c r="P104" s="9" t="s">
        <v>373</v>
      </c>
      <c r="Q104" s="11"/>
    </row>
    <row r="105" spans="1:17" s="18" customFormat="1" ht="66" x14ac:dyDescent="0.25">
      <c r="A105" s="13">
        <v>94</v>
      </c>
      <c r="B105" s="16" t="s">
        <v>504</v>
      </c>
      <c r="C105" s="9">
        <v>16</v>
      </c>
      <c r="D105" s="11" t="str">
        <f t="shared" ca="1" si="1"/>
        <v>16 বছর 11 মাস 10 দিন</v>
      </c>
      <c r="E105" s="16" t="s">
        <v>505</v>
      </c>
      <c r="F105" s="9">
        <v>29114</v>
      </c>
      <c r="G105" s="17">
        <v>45783</v>
      </c>
      <c r="H105" s="16" t="s">
        <v>506</v>
      </c>
      <c r="I105" s="9" t="s">
        <v>48</v>
      </c>
      <c r="J105" s="16" t="s">
        <v>276</v>
      </c>
      <c r="K105" s="16" t="s">
        <v>50</v>
      </c>
      <c r="L105" s="17">
        <v>45827</v>
      </c>
      <c r="M105" s="9"/>
      <c r="N105" s="9" t="s">
        <v>93</v>
      </c>
      <c r="O105" s="11" t="s">
        <v>34</v>
      </c>
      <c r="P105" s="9" t="s">
        <v>180</v>
      </c>
      <c r="Q105" s="11"/>
    </row>
    <row r="106" spans="1:17" ht="66" x14ac:dyDescent="0.25">
      <c r="A106" s="13">
        <v>95</v>
      </c>
      <c r="B106" s="16" t="s">
        <v>507</v>
      </c>
      <c r="C106" s="9">
        <v>16</v>
      </c>
      <c r="D106" s="11" t="str">
        <f t="shared" ca="1" si="1"/>
        <v>16 বছর 11 মাস 10 দিন</v>
      </c>
      <c r="E106" s="11" t="s">
        <v>508</v>
      </c>
      <c r="F106" s="14">
        <v>29124</v>
      </c>
      <c r="G106" s="17">
        <v>45783</v>
      </c>
      <c r="H106" s="11" t="s">
        <v>509</v>
      </c>
      <c r="I106" s="9" t="s">
        <v>27</v>
      </c>
      <c r="J106" s="11" t="s">
        <v>510</v>
      </c>
      <c r="K106" s="16" t="s">
        <v>50</v>
      </c>
      <c r="L106" s="11"/>
      <c r="M106" s="9"/>
      <c r="N106" s="9" t="s">
        <v>30</v>
      </c>
      <c r="O106" s="11" t="s">
        <v>34</v>
      </c>
      <c r="P106" s="9" t="s">
        <v>217</v>
      </c>
      <c r="Q106" s="11"/>
    </row>
    <row r="107" spans="1:17" ht="66" x14ac:dyDescent="0.25">
      <c r="A107" s="13">
        <v>96</v>
      </c>
      <c r="B107" s="16" t="s">
        <v>511</v>
      </c>
      <c r="C107" s="9" t="s">
        <v>512</v>
      </c>
      <c r="D107" s="11"/>
      <c r="E107" s="11" t="s">
        <v>513</v>
      </c>
      <c r="F107" s="14">
        <v>29127</v>
      </c>
      <c r="G107" s="17">
        <v>45783</v>
      </c>
      <c r="H107" s="11" t="s">
        <v>514</v>
      </c>
      <c r="I107" s="9" t="s">
        <v>27</v>
      </c>
      <c r="J107" s="11" t="s">
        <v>515</v>
      </c>
      <c r="K107" s="16" t="s">
        <v>50</v>
      </c>
      <c r="L107" s="11"/>
      <c r="M107" s="9"/>
      <c r="N107" s="9" t="s">
        <v>516</v>
      </c>
      <c r="O107" s="11" t="s">
        <v>51</v>
      </c>
      <c r="P107" s="16" t="s">
        <v>81</v>
      </c>
      <c r="Q107" s="11" t="s">
        <v>82</v>
      </c>
    </row>
    <row r="108" spans="1:17" ht="66" x14ac:dyDescent="0.25">
      <c r="A108" s="13">
        <v>97</v>
      </c>
      <c r="B108" s="16" t="s">
        <v>517</v>
      </c>
      <c r="C108" s="9">
        <v>18</v>
      </c>
      <c r="D108" s="11" t="str">
        <f t="shared" ref="D108:D142" ca="1" si="2">C108+DATEDIF(G108,TODAY(),"y")&amp;" "&amp;"বছর"&amp;" "&amp;DATEDIF(G108,TODAY(),"ym")&amp;" "&amp;"মাস"&amp;" "&amp;DATEDIF(G108,TODAY(),"md")&amp;" "&amp;"দিন"</f>
        <v>18 বছর 11 মাস 9 দিন</v>
      </c>
      <c r="E108" s="16" t="s">
        <v>518</v>
      </c>
      <c r="F108" s="9">
        <v>29133</v>
      </c>
      <c r="G108" s="17">
        <v>45784</v>
      </c>
      <c r="H108" s="16" t="s">
        <v>519</v>
      </c>
      <c r="I108" s="9" t="s">
        <v>48</v>
      </c>
      <c r="J108" s="16" t="s">
        <v>520</v>
      </c>
      <c r="K108" s="16" t="s">
        <v>50</v>
      </c>
      <c r="L108" s="17">
        <v>45797</v>
      </c>
      <c r="M108" s="9"/>
      <c r="N108" s="9" t="s">
        <v>303</v>
      </c>
      <c r="O108" s="11" t="s">
        <v>51</v>
      </c>
      <c r="P108" s="9" t="s">
        <v>521</v>
      </c>
      <c r="Q108" s="11"/>
    </row>
    <row r="109" spans="1:17" ht="66" x14ac:dyDescent="0.25">
      <c r="A109" s="13">
        <v>98</v>
      </c>
      <c r="B109" s="16" t="s">
        <v>522</v>
      </c>
      <c r="C109" s="9">
        <v>17</v>
      </c>
      <c r="D109" s="11" t="str">
        <f t="shared" ca="1" si="2"/>
        <v>17 বছর 11 মাস 9 দিন</v>
      </c>
      <c r="E109" s="16" t="s">
        <v>523</v>
      </c>
      <c r="F109" s="9">
        <v>29136</v>
      </c>
      <c r="G109" s="17">
        <v>45784</v>
      </c>
      <c r="H109" s="16" t="s">
        <v>524</v>
      </c>
      <c r="I109" s="9" t="s">
        <v>48</v>
      </c>
      <c r="J109" s="16" t="s">
        <v>276</v>
      </c>
      <c r="K109" s="16" t="s">
        <v>50</v>
      </c>
      <c r="L109" s="17">
        <v>45806</v>
      </c>
      <c r="M109" s="9"/>
      <c r="N109" s="9" t="s">
        <v>491</v>
      </c>
      <c r="O109" s="11" t="s">
        <v>110</v>
      </c>
      <c r="P109" s="9" t="s">
        <v>52</v>
      </c>
      <c r="Q109" s="11"/>
    </row>
    <row r="110" spans="1:17" ht="66" x14ac:dyDescent="0.25">
      <c r="A110" s="13">
        <v>99</v>
      </c>
      <c r="B110" s="16" t="s">
        <v>525</v>
      </c>
      <c r="C110" s="9">
        <v>14</v>
      </c>
      <c r="D110" s="11" t="str">
        <f t="shared" ca="1" si="2"/>
        <v>14 বছর 11 মাস 4 দিন</v>
      </c>
      <c r="E110" s="16" t="s">
        <v>526</v>
      </c>
      <c r="F110" s="9">
        <v>29167</v>
      </c>
      <c r="G110" s="17">
        <v>45789</v>
      </c>
      <c r="H110" s="16" t="s">
        <v>527</v>
      </c>
      <c r="I110" s="9" t="s">
        <v>48</v>
      </c>
      <c r="J110" s="16" t="s">
        <v>528</v>
      </c>
      <c r="K110" s="16" t="s">
        <v>50</v>
      </c>
      <c r="L110" s="17">
        <v>45834</v>
      </c>
      <c r="M110" s="9"/>
      <c r="N110" s="9" t="s">
        <v>303</v>
      </c>
      <c r="O110" s="11" t="s">
        <v>31</v>
      </c>
      <c r="P110" s="9" t="s">
        <v>529</v>
      </c>
      <c r="Q110" s="11"/>
    </row>
    <row r="111" spans="1:17" ht="66" x14ac:dyDescent="0.25">
      <c r="A111" s="13">
        <v>100</v>
      </c>
      <c r="B111" s="16" t="s">
        <v>530</v>
      </c>
      <c r="C111" s="14">
        <v>15</v>
      </c>
      <c r="D111" s="11" t="str">
        <f t="shared" ca="1" si="2"/>
        <v>15 বছর 11 মাস 0 দিন</v>
      </c>
      <c r="E111" s="16" t="s">
        <v>531</v>
      </c>
      <c r="F111" s="9">
        <v>29168</v>
      </c>
      <c r="G111" s="17">
        <v>45793</v>
      </c>
      <c r="H111" s="16" t="s">
        <v>532</v>
      </c>
      <c r="I111" s="9" t="s">
        <v>48</v>
      </c>
      <c r="J111" s="16" t="s">
        <v>105</v>
      </c>
      <c r="K111" s="16" t="s">
        <v>50</v>
      </c>
      <c r="L111" s="9" t="s">
        <v>533</v>
      </c>
      <c r="M111" s="9"/>
      <c r="N111" s="9" t="s">
        <v>308</v>
      </c>
      <c r="O111" s="11" t="s">
        <v>31</v>
      </c>
      <c r="P111" s="9" t="s">
        <v>391</v>
      </c>
      <c r="Q111" s="11"/>
    </row>
    <row r="112" spans="1:17" ht="66" x14ac:dyDescent="0.25">
      <c r="A112" s="13">
        <v>101</v>
      </c>
      <c r="B112" s="16" t="s">
        <v>534</v>
      </c>
      <c r="C112" s="9">
        <v>14</v>
      </c>
      <c r="D112" s="11" t="str">
        <f t="shared" ca="1" si="2"/>
        <v>14 বছর 11 মাস 2 দিন</v>
      </c>
      <c r="E112" s="11" t="s">
        <v>535</v>
      </c>
      <c r="F112" s="14">
        <v>29179</v>
      </c>
      <c r="G112" s="17">
        <v>45791</v>
      </c>
      <c r="H112" s="11" t="s">
        <v>536</v>
      </c>
      <c r="I112" s="9" t="s">
        <v>27</v>
      </c>
      <c r="J112" s="11" t="s">
        <v>105</v>
      </c>
      <c r="K112" s="16" t="s">
        <v>50</v>
      </c>
      <c r="L112" s="11"/>
      <c r="M112" s="9"/>
      <c r="N112" s="9" t="s">
        <v>30</v>
      </c>
      <c r="O112" s="11" t="s">
        <v>31</v>
      </c>
      <c r="P112" s="11" t="s">
        <v>537</v>
      </c>
      <c r="Q112" s="11"/>
    </row>
    <row r="113" spans="1:17" ht="66" x14ac:dyDescent="0.25">
      <c r="A113" s="13">
        <v>102</v>
      </c>
      <c r="B113" s="16" t="s">
        <v>538</v>
      </c>
      <c r="C113" s="9">
        <v>16</v>
      </c>
      <c r="D113" s="11" t="str">
        <f t="shared" ca="1" si="2"/>
        <v>16 বছর 11 মাস 2 দিন</v>
      </c>
      <c r="E113" s="11" t="s">
        <v>539</v>
      </c>
      <c r="F113" s="14">
        <v>29180</v>
      </c>
      <c r="G113" s="17">
        <v>45791</v>
      </c>
      <c r="H113" s="11" t="s">
        <v>540</v>
      </c>
      <c r="I113" s="9" t="s">
        <v>27</v>
      </c>
      <c r="J113" s="11" t="s">
        <v>105</v>
      </c>
      <c r="K113" s="16" t="s">
        <v>50</v>
      </c>
      <c r="L113" s="11"/>
      <c r="M113" s="9"/>
      <c r="N113" s="9" t="s">
        <v>30</v>
      </c>
      <c r="O113" s="11" t="s">
        <v>100</v>
      </c>
      <c r="P113" s="11" t="s">
        <v>537</v>
      </c>
      <c r="Q113" s="11"/>
    </row>
    <row r="114" spans="1:17" ht="66" x14ac:dyDescent="0.25">
      <c r="A114" s="13">
        <v>103</v>
      </c>
      <c r="B114" s="11" t="s">
        <v>541</v>
      </c>
      <c r="C114" s="9">
        <v>17</v>
      </c>
      <c r="D114" s="11" t="str">
        <f t="shared" ca="1" si="2"/>
        <v>17 বছর 11 মাস 1 দিন</v>
      </c>
      <c r="E114" s="11" t="s">
        <v>542</v>
      </c>
      <c r="F114" s="14">
        <v>29183</v>
      </c>
      <c r="G114" s="20">
        <v>45792</v>
      </c>
      <c r="H114" s="11" t="s">
        <v>543</v>
      </c>
      <c r="I114" s="11" t="s">
        <v>202</v>
      </c>
      <c r="J114" s="11" t="s">
        <v>544</v>
      </c>
      <c r="K114" s="16" t="s">
        <v>50</v>
      </c>
      <c r="L114" s="9"/>
      <c r="M114" s="9"/>
      <c r="N114" s="9" t="s">
        <v>30</v>
      </c>
      <c r="O114" s="11" t="s">
        <v>100</v>
      </c>
      <c r="P114" s="11" t="s">
        <v>294</v>
      </c>
      <c r="Q114" s="11"/>
    </row>
    <row r="115" spans="1:17" ht="66" x14ac:dyDescent="0.25">
      <c r="A115" s="13">
        <v>104</v>
      </c>
      <c r="B115" s="16" t="s">
        <v>545</v>
      </c>
      <c r="C115" s="9">
        <v>18</v>
      </c>
      <c r="D115" s="11" t="str">
        <f t="shared" ca="1" si="2"/>
        <v>18 বছর 11 মাস 0 দিন</v>
      </c>
      <c r="E115" s="16" t="s">
        <v>546</v>
      </c>
      <c r="F115" s="9">
        <v>29199</v>
      </c>
      <c r="G115" s="17">
        <v>45793</v>
      </c>
      <c r="H115" s="16" t="s">
        <v>547</v>
      </c>
      <c r="I115" s="9" t="s">
        <v>48</v>
      </c>
      <c r="J115" s="16" t="s">
        <v>548</v>
      </c>
      <c r="K115" s="16" t="s">
        <v>50</v>
      </c>
      <c r="L115" s="17">
        <v>45928</v>
      </c>
      <c r="M115" s="9"/>
      <c r="N115" s="9" t="s">
        <v>345</v>
      </c>
      <c r="O115" s="11" t="s">
        <v>100</v>
      </c>
      <c r="P115" s="16" t="s">
        <v>81</v>
      </c>
      <c r="Q115" s="11" t="s">
        <v>82</v>
      </c>
    </row>
    <row r="116" spans="1:17" ht="132" x14ac:dyDescent="0.25">
      <c r="A116" s="13">
        <v>105</v>
      </c>
      <c r="B116" s="11" t="s">
        <v>549</v>
      </c>
      <c r="C116" s="14">
        <v>15</v>
      </c>
      <c r="D116" s="11" t="str">
        <f t="shared" ca="1" si="2"/>
        <v>15 বছর 10 মাস 30 দিন</v>
      </c>
      <c r="E116" s="11" t="s">
        <v>550</v>
      </c>
      <c r="F116" s="14">
        <v>29208</v>
      </c>
      <c r="G116" s="20">
        <v>45794</v>
      </c>
      <c r="H116" s="11" t="s">
        <v>551</v>
      </c>
      <c r="I116" s="11" t="s">
        <v>552</v>
      </c>
      <c r="J116" s="11" t="s">
        <v>553</v>
      </c>
      <c r="K116" s="11" t="s">
        <v>132</v>
      </c>
      <c r="L116" s="20">
        <v>45802</v>
      </c>
      <c r="M116" s="9"/>
      <c r="N116" s="9" t="s">
        <v>30</v>
      </c>
      <c r="O116" s="11" t="s">
        <v>31</v>
      </c>
      <c r="P116" s="11" t="s">
        <v>554</v>
      </c>
      <c r="Q116" s="11"/>
    </row>
    <row r="117" spans="1:17" ht="66" customHeight="1" x14ac:dyDescent="0.25">
      <c r="A117" s="13">
        <v>106</v>
      </c>
      <c r="B117" s="16" t="s">
        <v>555</v>
      </c>
      <c r="C117" s="9">
        <v>17</v>
      </c>
      <c r="D117" s="11" t="str">
        <f t="shared" ca="1" si="2"/>
        <v>17 বছর 10 মাস 26 দিন</v>
      </c>
      <c r="E117" s="11" t="s">
        <v>556</v>
      </c>
      <c r="F117" s="14">
        <v>29238</v>
      </c>
      <c r="G117" s="17">
        <v>45798</v>
      </c>
      <c r="H117" s="11" t="s">
        <v>557</v>
      </c>
      <c r="I117" s="9" t="s">
        <v>27</v>
      </c>
      <c r="J117" s="11" t="s">
        <v>558</v>
      </c>
      <c r="K117" s="16" t="s">
        <v>50</v>
      </c>
      <c r="L117" s="11"/>
      <c r="M117" s="9"/>
      <c r="N117" s="9" t="s">
        <v>30</v>
      </c>
      <c r="O117" s="11" t="s">
        <v>100</v>
      </c>
      <c r="P117" s="9" t="s">
        <v>481</v>
      </c>
      <c r="Q117" s="11"/>
    </row>
    <row r="118" spans="1:17" ht="66" x14ac:dyDescent="0.25">
      <c r="A118" s="13">
        <v>107</v>
      </c>
      <c r="B118" s="16" t="s">
        <v>559</v>
      </c>
      <c r="C118" s="9" t="s">
        <v>560</v>
      </c>
      <c r="D118" s="11" t="e">
        <f t="shared" ca="1" si="2"/>
        <v>#VALUE!</v>
      </c>
      <c r="E118" s="11" t="s">
        <v>561</v>
      </c>
      <c r="F118" s="14">
        <v>29243</v>
      </c>
      <c r="G118" s="17">
        <v>45798</v>
      </c>
      <c r="H118" s="11" t="s">
        <v>562</v>
      </c>
      <c r="I118" s="9" t="s">
        <v>27</v>
      </c>
      <c r="J118" s="11" t="s">
        <v>563</v>
      </c>
      <c r="K118" s="16" t="s">
        <v>50</v>
      </c>
      <c r="L118" s="11"/>
      <c r="M118" s="9"/>
      <c r="N118" s="9" t="s">
        <v>30</v>
      </c>
      <c r="O118" s="11" t="s">
        <v>100</v>
      </c>
      <c r="P118" s="9" t="s">
        <v>217</v>
      </c>
      <c r="Q118" s="11"/>
    </row>
    <row r="119" spans="1:17" ht="49.5" x14ac:dyDescent="0.25">
      <c r="A119" s="13">
        <v>108</v>
      </c>
      <c r="B119" s="11" t="s">
        <v>564</v>
      </c>
      <c r="C119" s="9">
        <v>17</v>
      </c>
      <c r="D119" s="11" t="str">
        <f t="shared" ca="1" si="2"/>
        <v>17 বছর 10 মাস 26 দিন</v>
      </c>
      <c r="E119" s="11" t="s">
        <v>565</v>
      </c>
      <c r="F119" s="14">
        <v>29244</v>
      </c>
      <c r="G119" s="20">
        <v>45798</v>
      </c>
      <c r="H119" s="11" t="s">
        <v>566</v>
      </c>
      <c r="I119" s="9" t="s">
        <v>27</v>
      </c>
      <c r="J119" s="11" t="s">
        <v>567</v>
      </c>
      <c r="K119" s="11" t="s">
        <v>568</v>
      </c>
      <c r="L119" s="11"/>
      <c r="M119" s="9"/>
      <c r="N119" s="9" t="s">
        <v>30</v>
      </c>
      <c r="O119" s="11" t="s">
        <v>100</v>
      </c>
      <c r="P119" s="11" t="s">
        <v>569</v>
      </c>
      <c r="Q119" s="11" t="s">
        <v>570</v>
      </c>
    </row>
    <row r="120" spans="1:17" ht="66" customHeight="1" x14ac:dyDescent="0.25">
      <c r="A120" s="13">
        <v>109</v>
      </c>
      <c r="B120" s="16" t="s">
        <v>571</v>
      </c>
      <c r="C120" s="9" t="s">
        <v>352</v>
      </c>
      <c r="D120" s="11" t="e">
        <f t="shared" ca="1" si="2"/>
        <v>#VALUE!</v>
      </c>
      <c r="E120" s="16" t="s">
        <v>572</v>
      </c>
      <c r="F120" s="9">
        <v>29290</v>
      </c>
      <c r="G120" s="17">
        <v>45803</v>
      </c>
      <c r="H120" s="16" t="s">
        <v>573</v>
      </c>
      <c r="I120" s="9" t="s">
        <v>48</v>
      </c>
      <c r="J120" s="16" t="s">
        <v>276</v>
      </c>
      <c r="K120" s="16" t="s">
        <v>50</v>
      </c>
      <c r="L120" s="17">
        <v>45844</v>
      </c>
      <c r="M120" s="9"/>
      <c r="N120" s="9" t="s">
        <v>574</v>
      </c>
      <c r="O120" s="11" t="s">
        <v>31</v>
      </c>
      <c r="P120" s="9" t="s">
        <v>575</v>
      </c>
      <c r="Q120" s="11"/>
    </row>
    <row r="121" spans="1:17" ht="66" x14ac:dyDescent="0.25">
      <c r="A121" s="13">
        <v>110</v>
      </c>
      <c r="B121" s="11" t="s">
        <v>576</v>
      </c>
      <c r="C121" s="9">
        <v>17</v>
      </c>
      <c r="D121" s="11" t="str">
        <f t="shared" ca="1" si="2"/>
        <v>17 বছর 10 মাস 18 দিন</v>
      </c>
      <c r="E121" s="11" t="s">
        <v>577</v>
      </c>
      <c r="F121" s="14">
        <v>29328</v>
      </c>
      <c r="G121" s="20">
        <v>45806</v>
      </c>
      <c r="H121" s="11" t="s">
        <v>578</v>
      </c>
      <c r="I121" s="9" t="s">
        <v>265</v>
      </c>
      <c r="J121" s="11" t="s">
        <v>579</v>
      </c>
      <c r="K121" s="16" t="s">
        <v>50</v>
      </c>
      <c r="L121" s="17">
        <v>45889</v>
      </c>
      <c r="M121" s="9"/>
      <c r="N121" s="9" t="s">
        <v>454</v>
      </c>
      <c r="O121" s="11" t="s">
        <v>34</v>
      </c>
      <c r="P121" s="16" t="s">
        <v>158</v>
      </c>
      <c r="Q121" s="11" t="s">
        <v>283</v>
      </c>
    </row>
    <row r="122" spans="1:17" ht="66" x14ac:dyDescent="0.25">
      <c r="A122" s="13">
        <v>111</v>
      </c>
      <c r="B122" s="11" t="s">
        <v>580</v>
      </c>
      <c r="C122" s="9">
        <v>17</v>
      </c>
      <c r="D122" s="11" t="str">
        <f t="shared" ca="1" si="2"/>
        <v>17 বছর 10 মাস 18 দিন</v>
      </c>
      <c r="E122" s="11" t="s">
        <v>581</v>
      </c>
      <c r="F122" s="14">
        <v>29330</v>
      </c>
      <c r="G122" s="20">
        <v>45806</v>
      </c>
      <c r="H122" s="11" t="s">
        <v>582</v>
      </c>
      <c r="I122" s="11" t="s">
        <v>202</v>
      </c>
      <c r="J122" s="11" t="s">
        <v>583</v>
      </c>
      <c r="K122" s="11" t="s">
        <v>132</v>
      </c>
      <c r="L122" s="11"/>
      <c r="M122" s="9"/>
      <c r="N122" s="9" t="s">
        <v>30</v>
      </c>
      <c r="O122" s="11" t="s">
        <v>110</v>
      </c>
      <c r="P122" s="9" t="s">
        <v>584</v>
      </c>
      <c r="Q122" s="11"/>
    </row>
    <row r="123" spans="1:17" ht="66" x14ac:dyDescent="0.25">
      <c r="A123" s="13">
        <v>112</v>
      </c>
      <c r="B123" s="11" t="s">
        <v>585</v>
      </c>
      <c r="C123" s="9">
        <v>16</v>
      </c>
      <c r="D123" s="11" t="str">
        <f t="shared" ca="1" si="2"/>
        <v>16 বছর 10 মাস 17 দিন</v>
      </c>
      <c r="E123" s="11" t="s">
        <v>586</v>
      </c>
      <c r="F123" s="14">
        <v>29343</v>
      </c>
      <c r="G123" s="20">
        <v>45807</v>
      </c>
      <c r="H123" s="11" t="s">
        <v>587</v>
      </c>
      <c r="I123" s="11" t="s">
        <v>588</v>
      </c>
      <c r="J123" s="11" t="s">
        <v>589</v>
      </c>
      <c r="K123" s="16" t="s">
        <v>50</v>
      </c>
      <c r="L123" s="17">
        <v>45852</v>
      </c>
      <c r="M123" s="9"/>
      <c r="N123" s="9" t="s">
        <v>30</v>
      </c>
      <c r="O123" s="11" t="s">
        <v>34</v>
      </c>
      <c r="P123" s="11" t="s">
        <v>590</v>
      </c>
      <c r="Q123" s="11"/>
    </row>
    <row r="124" spans="1:17" ht="66" x14ac:dyDescent="0.25">
      <c r="A124" s="13">
        <v>113</v>
      </c>
      <c r="B124" s="16" t="s">
        <v>591</v>
      </c>
      <c r="C124" s="9">
        <v>17</v>
      </c>
      <c r="D124" s="11" t="str">
        <f t="shared" ca="1" si="2"/>
        <v>17 বছর 10 মাস 17 দিন</v>
      </c>
      <c r="E124" s="16" t="s">
        <v>592</v>
      </c>
      <c r="F124" s="9">
        <v>29344</v>
      </c>
      <c r="G124" s="17">
        <v>45807</v>
      </c>
      <c r="H124" s="16" t="s">
        <v>593</v>
      </c>
      <c r="I124" s="9" t="s">
        <v>48</v>
      </c>
      <c r="J124" s="16" t="s">
        <v>276</v>
      </c>
      <c r="K124" s="16" t="s">
        <v>50</v>
      </c>
      <c r="L124" s="17">
        <v>45825</v>
      </c>
      <c r="M124" s="9"/>
      <c r="N124" s="9" t="s">
        <v>222</v>
      </c>
      <c r="O124" s="11" t="s">
        <v>100</v>
      </c>
      <c r="P124" s="9" t="s">
        <v>192</v>
      </c>
      <c r="Q124" s="11"/>
    </row>
    <row r="125" spans="1:17" ht="66" x14ac:dyDescent="0.25">
      <c r="A125" s="13">
        <v>114</v>
      </c>
      <c r="B125" s="16" t="s">
        <v>594</v>
      </c>
      <c r="C125" s="9">
        <v>16</v>
      </c>
      <c r="D125" s="11" t="str">
        <f t="shared" ca="1" si="2"/>
        <v>16 বছর 10 মাস 16 দিন</v>
      </c>
      <c r="E125" s="16" t="s">
        <v>595</v>
      </c>
      <c r="F125" s="9">
        <v>29363</v>
      </c>
      <c r="G125" s="17">
        <v>45808</v>
      </c>
      <c r="H125" s="16" t="s">
        <v>596</v>
      </c>
      <c r="I125" s="9" t="s">
        <v>48</v>
      </c>
      <c r="J125" s="16" t="s">
        <v>276</v>
      </c>
      <c r="K125" s="16" t="s">
        <v>50</v>
      </c>
      <c r="L125" s="17">
        <v>45825</v>
      </c>
      <c r="M125" s="9"/>
      <c r="N125" s="9" t="s">
        <v>271</v>
      </c>
      <c r="O125" s="11" t="s">
        <v>31</v>
      </c>
      <c r="P125" s="9" t="s">
        <v>391</v>
      </c>
      <c r="Q125" s="11"/>
    </row>
    <row r="126" spans="1:17" ht="66" x14ac:dyDescent="0.25">
      <c r="A126" s="13">
        <v>115</v>
      </c>
      <c r="B126" s="11" t="s">
        <v>597</v>
      </c>
      <c r="C126" s="9">
        <v>19</v>
      </c>
      <c r="D126" s="11" t="str">
        <f t="shared" ca="1" si="2"/>
        <v>19 বছর 10 মাস 15 দিন</v>
      </c>
      <c r="E126" s="11" t="s">
        <v>598</v>
      </c>
      <c r="F126" s="14">
        <v>29376</v>
      </c>
      <c r="G126" s="20">
        <v>45809</v>
      </c>
      <c r="H126" s="11" t="s">
        <v>599</v>
      </c>
      <c r="I126" s="22" t="s">
        <v>196</v>
      </c>
      <c r="J126" s="11" t="s">
        <v>600</v>
      </c>
      <c r="K126" s="16" t="s">
        <v>50</v>
      </c>
      <c r="L126" s="17">
        <v>45812</v>
      </c>
      <c r="M126" s="9"/>
      <c r="N126" s="9" t="s">
        <v>30</v>
      </c>
      <c r="O126" s="11" t="s">
        <v>34</v>
      </c>
      <c r="P126" s="9" t="s">
        <v>584</v>
      </c>
      <c r="Q126" s="11"/>
    </row>
    <row r="127" spans="1:17" ht="66" x14ac:dyDescent="0.25">
      <c r="A127" s="13">
        <v>116</v>
      </c>
      <c r="B127" s="16" t="s">
        <v>601</v>
      </c>
      <c r="C127" s="9">
        <v>21</v>
      </c>
      <c r="D127" s="11" t="str">
        <f t="shared" ca="1" si="2"/>
        <v>21 বছর 10 মাস 15 দিন</v>
      </c>
      <c r="E127" s="11" t="s">
        <v>602</v>
      </c>
      <c r="F127" s="14">
        <v>29382</v>
      </c>
      <c r="G127" s="17">
        <v>45809</v>
      </c>
      <c r="H127" s="11" t="s">
        <v>603</v>
      </c>
      <c r="I127" s="9" t="s">
        <v>27</v>
      </c>
      <c r="J127" s="11" t="s">
        <v>355</v>
      </c>
      <c r="K127" s="16" t="s">
        <v>50</v>
      </c>
      <c r="L127" s="11"/>
      <c r="M127" s="9"/>
      <c r="N127" s="9" t="s">
        <v>30</v>
      </c>
      <c r="O127" s="11" t="s">
        <v>100</v>
      </c>
      <c r="P127" s="11" t="s">
        <v>350</v>
      </c>
      <c r="Q127" s="11"/>
    </row>
    <row r="128" spans="1:17" ht="66" x14ac:dyDescent="0.25">
      <c r="A128" s="13">
        <v>117</v>
      </c>
      <c r="B128" s="11" t="s">
        <v>604</v>
      </c>
      <c r="C128" s="9">
        <v>17</v>
      </c>
      <c r="D128" s="11" t="str">
        <f t="shared" ca="1" si="2"/>
        <v>17 বছর 10 মাস 14 দিন</v>
      </c>
      <c r="E128" s="11" t="s">
        <v>605</v>
      </c>
      <c r="F128" s="14">
        <v>29383</v>
      </c>
      <c r="G128" s="20">
        <v>45810</v>
      </c>
      <c r="H128" s="11" t="s">
        <v>606</v>
      </c>
      <c r="I128" s="11" t="s">
        <v>588</v>
      </c>
      <c r="J128" s="11" t="s">
        <v>607</v>
      </c>
      <c r="K128" s="16" t="s">
        <v>50</v>
      </c>
      <c r="L128" s="17">
        <v>45872</v>
      </c>
      <c r="M128" s="9"/>
      <c r="N128" s="9" t="s">
        <v>30</v>
      </c>
      <c r="O128" s="11" t="s">
        <v>34</v>
      </c>
      <c r="P128" s="11" t="s">
        <v>590</v>
      </c>
      <c r="Q128" s="11"/>
    </row>
    <row r="129" spans="1:17" ht="66" x14ac:dyDescent="0.25">
      <c r="A129" s="13">
        <v>118</v>
      </c>
      <c r="B129" s="24" t="s">
        <v>608</v>
      </c>
      <c r="C129" s="25"/>
      <c r="D129" s="24" t="str">
        <f t="shared" ca="1" si="2"/>
        <v>0 বছর 10 মাস 14 দিন</v>
      </c>
      <c r="E129" s="24" t="s">
        <v>609</v>
      </c>
      <c r="F129" s="25">
        <v>29385</v>
      </c>
      <c r="G129" s="26">
        <v>45810</v>
      </c>
      <c r="H129" s="24" t="s">
        <v>606</v>
      </c>
      <c r="I129" s="24" t="s">
        <v>588</v>
      </c>
      <c r="J129" s="24" t="s">
        <v>607</v>
      </c>
      <c r="K129" s="27" t="s">
        <v>610</v>
      </c>
      <c r="L129" s="28">
        <v>45872</v>
      </c>
      <c r="M129" s="25"/>
      <c r="N129" s="25" t="s">
        <v>30</v>
      </c>
      <c r="O129" s="11" t="s">
        <v>31</v>
      </c>
      <c r="P129" s="24" t="s">
        <v>611</v>
      </c>
      <c r="Q129" s="11"/>
    </row>
    <row r="130" spans="1:17" ht="66" x14ac:dyDescent="0.25">
      <c r="A130" s="13">
        <v>119</v>
      </c>
      <c r="B130" s="16" t="s">
        <v>612</v>
      </c>
      <c r="C130" s="14">
        <v>15</v>
      </c>
      <c r="D130" s="11" t="str">
        <f t="shared" ca="1" si="2"/>
        <v>15 বছর 10 মাস 10 দিন</v>
      </c>
      <c r="E130" s="11" t="s">
        <v>613</v>
      </c>
      <c r="F130" s="14">
        <v>29421</v>
      </c>
      <c r="G130" s="17">
        <v>45814</v>
      </c>
      <c r="H130" s="11" t="s">
        <v>614</v>
      </c>
      <c r="I130" s="9" t="s">
        <v>27</v>
      </c>
      <c r="J130" s="11" t="s">
        <v>615</v>
      </c>
      <c r="K130" s="16" t="s">
        <v>50</v>
      </c>
      <c r="L130" s="15">
        <v>45854</v>
      </c>
      <c r="M130" s="9"/>
      <c r="N130" s="9" t="s">
        <v>30</v>
      </c>
      <c r="O130" s="11" t="s">
        <v>31</v>
      </c>
      <c r="P130" s="11" t="s">
        <v>616</v>
      </c>
      <c r="Q130" s="11"/>
    </row>
    <row r="131" spans="1:17" ht="66" x14ac:dyDescent="0.25">
      <c r="A131" s="13">
        <v>120</v>
      </c>
      <c r="B131" s="16" t="s">
        <v>617</v>
      </c>
      <c r="C131" s="9" t="s">
        <v>352</v>
      </c>
      <c r="D131" s="11" t="e">
        <f t="shared" ca="1" si="2"/>
        <v>#VALUE!</v>
      </c>
      <c r="E131" s="11" t="s">
        <v>618</v>
      </c>
      <c r="F131" s="14">
        <v>29426</v>
      </c>
      <c r="G131" s="17">
        <v>45814</v>
      </c>
      <c r="H131" s="11" t="s">
        <v>619</v>
      </c>
      <c r="I131" s="9" t="s">
        <v>27</v>
      </c>
      <c r="J131" s="11" t="s">
        <v>620</v>
      </c>
      <c r="K131" s="16" t="s">
        <v>50</v>
      </c>
      <c r="L131" s="11"/>
      <c r="M131" s="9"/>
      <c r="N131" s="9" t="s">
        <v>30</v>
      </c>
      <c r="O131" s="11" t="s">
        <v>34</v>
      </c>
      <c r="P131" s="9" t="s">
        <v>373</v>
      </c>
      <c r="Q131" s="11"/>
    </row>
    <row r="132" spans="1:17" ht="66" x14ac:dyDescent="0.25">
      <c r="A132" s="13">
        <v>121</v>
      </c>
      <c r="B132" s="16" t="s">
        <v>621</v>
      </c>
      <c r="C132" s="9">
        <v>16</v>
      </c>
      <c r="D132" s="11" t="str">
        <f t="shared" ca="1" si="2"/>
        <v>16 বছর 10 মাস 8 দিন</v>
      </c>
      <c r="E132" s="16" t="s">
        <v>622</v>
      </c>
      <c r="F132" s="9">
        <v>29427</v>
      </c>
      <c r="G132" s="17">
        <v>45816</v>
      </c>
      <c r="H132" s="16" t="s">
        <v>623</v>
      </c>
      <c r="I132" s="9" t="s">
        <v>48</v>
      </c>
      <c r="J132" s="16" t="s">
        <v>105</v>
      </c>
      <c r="K132" s="16" t="s">
        <v>50</v>
      </c>
      <c r="L132" s="17">
        <v>45853</v>
      </c>
      <c r="M132" s="9"/>
      <c r="N132" s="9" t="s">
        <v>271</v>
      </c>
      <c r="O132" s="11" t="s">
        <v>31</v>
      </c>
      <c r="P132" s="9" t="s">
        <v>481</v>
      </c>
      <c r="Q132" s="11"/>
    </row>
    <row r="133" spans="1:17" ht="66" x14ac:dyDescent="0.25">
      <c r="A133" s="13">
        <v>122</v>
      </c>
      <c r="B133" s="11" t="s">
        <v>624</v>
      </c>
      <c r="C133" s="9">
        <v>12</v>
      </c>
      <c r="D133" s="11" t="str">
        <f t="shared" ca="1" si="2"/>
        <v>12 বছর 10 মাস 6 দিন</v>
      </c>
      <c r="E133" s="11" t="s">
        <v>625</v>
      </c>
      <c r="F133" s="14">
        <v>29432</v>
      </c>
      <c r="G133" s="20">
        <v>45818</v>
      </c>
      <c r="H133" s="11" t="s">
        <v>626</v>
      </c>
      <c r="I133" s="11" t="s">
        <v>265</v>
      </c>
      <c r="J133" s="11" t="s">
        <v>627</v>
      </c>
      <c r="K133" s="16" t="s">
        <v>50</v>
      </c>
      <c r="L133" s="17">
        <v>45866</v>
      </c>
      <c r="M133" s="9"/>
      <c r="N133" s="9" t="s">
        <v>30</v>
      </c>
      <c r="O133" s="11" t="s">
        <v>31</v>
      </c>
      <c r="P133" s="9" t="s">
        <v>69</v>
      </c>
      <c r="Q133" s="11"/>
    </row>
    <row r="134" spans="1:17" s="18" customFormat="1" ht="66" x14ac:dyDescent="0.25">
      <c r="A134" s="13">
        <v>123</v>
      </c>
      <c r="B134" s="11" t="s">
        <v>628</v>
      </c>
      <c r="C134" s="9">
        <v>17</v>
      </c>
      <c r="D134" s="11" t="str">
        <f t="shared" ca="1" si="2"/>
        <v>17 বছর 10 মাস 6 দিন</v>
      </c>
      <c r="E134" s="11" t="s">
        <v>629</v>
      </c>
      <c r="F134" s="14">
        <v>29433</v>
      </c>
      <c r="G134" s="20">
        <v>45818</v>
      </c>
      <c r="H134" s="11" t="s">
        <v>630</v>
      </c>
      <c r="I134" s="11" t="s">
        <v>265</v>
      </c>
      <c r="J134" s="11" t="s">
        <v>631</v>
      </c>
      <c r="K134" s="16" t="s">
        <v>50</v>
      </c>
      <c r="L134" s="17">
        <v>45866</v>
      </c>
      <c r="M134" s="9"/>
      <c r="N134" s="9" t="s">
        <v>30</v>
      </c>
      <c r="O134" s="11" t="s">
        <v>51</v>
      </c>
      <c r="P134" s="9" t="s">
        <v>69</v>
      </c>
      <c r="Q134" s="11"/>
    </row>
    <row r="135" spans="1:17" s="18" customFormat="1" ht="66" x14ac:dyDescent="0.25">
      <c r="A135" s="13">
        <v>124</v>
      </c>
      <c r="B135" s="16" t="s">
        <v>632</v>
      </c>
      <c r="C135" s="9">
        <v>14</v>
      </c>
      <c r="D135" s="11" t="str">
        <f t="shared" ca="1" si="2"/>
        <v>14 বছর 10 মাস 6 দিন</v>
      </c>
      <c r="E135" s="16" t="s">
        <v>633</v>
      </c>
      <c r="F135" s="9">
        <v>29437</v>
      </c>
      <c r="G135" s="17">
        <v>45818</v>
      </c>
      <c r="H135" s="16" t="s">
        <v>634</v>
      </c>
      <c r="I135" s="9" t="s">
        <v>48</v>
      </c>
      <c r="J135" s="16" t="s">
        <v>61</v>
      </c>
      <c r="K135" s="16" t="s">
        <v>50</v>
      </c>
      <c r="L135" s="17">
        <v>45883</v>
      </c>
      <c r="M135" s="9"/>
      <c r="N135" s="9" t="s">
        <v>574</v>
      </c>
      <c r="O135" s="11" t="s">
        <v>31</v>
      </c>
      <c r="P135" s="9" t="s">
        <v>481</v>
      </c>
      <c r="Q135" s="11"/>
    </row>
    <row r="136" spans="1:17" ht="82.5" x14ac:dyDescent="0.25">
      <c r="A136" s="13">
        <v>125</v>
      </c>
      <c r="B136" s="22" t="s">
        <v>635</v>
      </c>
      <c r="C136" s="9">
        <v>16</v>
      </c>
      <c r="D136" s="11" t="str">
        <f t="shared" ca="1" si="2"/>
        <v>16 বছর 10 মাস 4 দিন</v>
      </c>
      <c r="E136" s="11" t="s">
        <v>636</v>
      </c>
      <c r="F136" s="14">
        <v>29447</v>
      </c>
      <c r="G136" s="20">
        <v>45820</v>
      </c>
      <c r="H136" s="11" t="s">
        <v>637</v>
      </c>
      <c r="I136" s="11" t="s">
        <v>552</v>
      </c>
      <c r="J136" s="11" t="s">
        <v>638</v>
      </c>
      <c r="K136" s="11" t="s">
        <v>132</v>
      </c>
      <c r="L136" s="20">
        <v>45838</v>
      </c>
      <c r="M136" s="9"/>
      <c r="N136" s="9" t="s">
        <v>30</v>
      </c>
      <c r="O136" s="11" t="s">
        <v>31</v>
      </c>
      <c r="P136" s="11" t="s">
        <v>537</v>
      </c>
      <c r="Q136" s="11"/>
    </row>
    <row r="137" spans="1:17" s="18" customFormat="1" ht="66" x14ac:dyDescent="0.25">
      <c r="A137" s="13">
        <v>126</v>
      </c>
      <c r="B137" s="16" t="s">
        <v>639</v>
      </c>
      <c r="C137" s="9">
        <v>14</v>
      </c>
      <c r="D137" s="11" t="str">
        <f t="shared" ca="1" si="2"/>
        <v>14 বছর 10 মাস 1 দিন</v>
      </c>
      <c r="E137" s="16" t="s">
        <v>640</v>
      </c>
      <c r="F137" s="9">
        <v>29455</v>
      </c>
      <c r="G137" s="17">
        <v>45823</v>
      </c>
      <c r="H137" s="16" t="s">
        <v>641</v>
      </c>
      <c r="I137" s="9" t="s">
        <v>48</v>
      </c>
      <c r="J137" s="16" t="s">
        <v>365</v>
      </c>
      <c r="K137" s="16" t="s">
        <v>50</v>
      </c>
      <c r="L137" s="17">
        <v>45907</v>
      </c>
      <c r="M137" s="9"/>
      <c r="N137" s="9" t="s">
        <v>303</v>
      </c>
      <c r="O137" s="11" t="s">
        <v>31</v>
      </c>
      <c r="P137" s="9" t="s">
        <v>642</v>
      </c>
      <c r="Q137" s="11"/>
    </row>
    <row r="138" spans="1:17" ht="82.5" x14ac:dyDescent="0.25">
      <c r="A138" s="13">
        <v>127</v>
      </c>
      <c r="B138" s="16" t="s">
        <v>643</v>
      </c>
      <c r="C138" s="14">
        <v>15</v>
      </c>
      <c r="D138" s="11" t="str">
        <f t="shared" ca="1" si="2"/>
        <v>15 বছর 10 মাস 1 দিন</v>
      </c>
      <c r="E138" s="11" t="s">
        <v>644</v>
      </c>
      <c r="F138" s="14">
        <v>29463</v>
      </c>
      <c r="G138" s="17">
        <v>45823</v>
      </c>
      <c r="H138" s="11" t="s">
        <v>645</v>
      </c>
      <c r="I138" s="9" t="s">
        <v>27</v>
      </c>
      <c r="J138" s="11" t="s">
        <v>646</v>
      </c>
      <c r="K138" s="16" t="s">
        <v>50</v>
      </c>
      <c r="L138" s="11"/>
      <c r="M138" s="9"/>
      <c r="N138" s="9" t="s">
        <v>30</v>
      </c>
      <c r="O138" s="11" t="s">
        <v>31</v>
      </c>
      <c r="P138" s="9" t="s">
        <v>642</v>
      </c>
      <c r="Q138" s="11"/>
    </row>
    <row r="139" spans="1:17" ht="66" x14ac:dyDescent="0.25">
      <c r="A139" s="13">
        <v>128</v>
      </c>
      <c r="B139" s="11" t="s">
        <v>647</v>
      </c>
      <c r="C139" s="14" t="s">
        <v>648</v>
      </c>
      <c r="D139" s="11" t="e">
        <f t="shared" ca="1" si="2"/>
        <v>#VALUE!</v>
      </c>
      <c r="E139" s="11" t="s">
        <v>649</v>
      </c>
      <c r="F139" s="14">
        <v>29531</v>
      </c>
      <c r="G139" s="20">
        <v>45829</v>
      </c>
      <c r="H139" s="11" t="s">
        <v>650</v>
      </c>
      <c r="I139" s="11" t="s">
        <v>552</v>
      </c>
      <c r="J139" s="11" t="s">
        <v>651</v>
      </c>
      <c r="K139" s="11" t="s">
        <v>132</v>
      </c>
      <c r="L139" s="23">
        <v>45928</v>
      </c>
      <c r="M139" s="9"/>
      <c r="N139" s="9" t="s">
        <v>30</v>
      </c>
      <c r="O139" s="11" t="s">
        <v>110</v>
      </c>
      <c r="P139" s="11" t="s">
        <v>652</v>
      </c>
      <c r="Q139" s="11"/>
    </row>
    <row r="140" spans="1:17" ht="66" x14ac:dyDescent="0.25">
      <c r="A140" s="13">
        <v>129</v>
      </c>
      <c r="B140" s="11" t="s">
        <v>653</v>
      </c>
      <c r="C140" s="14">
        <v>15</v>
      </c>
      <c r="D140" s="11" t="str">
        <f t="shared" ca="1" si="2"/>
        <v>15 বছর 9 মাস 25 দিন</v>
      </c>
      <c r="E140" s="11" t="s">
        <v>654</v>
      </c>
      <c r="F140" s="14">
        <v>29543</v>
      </c>
      <c r="G140" s="20">
        <v>45830</v>
      </c>
      <c r="H140" s="11" t="s">
        <v>655</v>
      </c>
      <c r="I140" s="11" t="s">
        <v>202</v>
      </c>
      <c r="J140" s="11" t="s">
        <v>656</v>
      </c>
      <c r="K140" s="11" t="s">
        <v>132</v>
      </c>
      <c r="L140" s="11"/>
      <c r="M140" s="9"/>
      <c r="N140" s="9" t="s">
        <v>30</v>
      </c>
      <c r="O140" s="11" t="s">
        <v>31</v>
      </c>
      <c r="P140" s="11" t="s">
        <v>554</v>
      </c>
      <c r="Q140" s="11"/>
    </row>
    <row r="141" spans="1:17" s="18" customFormat="1" ht="49.5" x14ac:dyDescent="0.25">
      <c r="A141" s="13">
        <v>130</v>
      </c>
      <c r="B141" s="11" t="s">
        <v>657</v>
      </c>
      <c r="C141" s="9">
        <v>16</v>
      </c>
      <c r="D141" s="11" t="str">
        <f t="shared" ca="1" si="2"/>
        <v>16 বছর 9 মাস 23 দিন</v>
      </c>
      <c r="E141" s="11" t="s">
        <v>658</v>
      </c>
      <c r="F141" s="14">
        <v>29572</v>
      </c>
      <c r="G141" s="20">
        <v>45832</v>
      </c>
      <c r="H141" s="11" t="s">
        <v>659</v>
      </c>
      <c r="I141" s="11" t="s">
        <v>588</v>
      </c>
      <c r="J141" s="11" t="s">
        <v>660</v>
      </c>
      <c r="K141" s="11" t="s">
        <v>132</v>
      </c>
      <c r="L141" s="11"/>
      <c r="M141" s="9"/>
      <c r="N141" s="9" t="s">
        <v>30</v>
      </c>
      <c r="O141" s="11" t="s">
        <v>31</v>
      </c>
      <c r="P141" s="9" t="s">
        <v>661</v>
      </c>
      <c r="Q141" s="11"/>
    </row>
    <row r="142" spans="1:17" ht="115.5" x14ac:dyDescent="0.25">
      <c r="A142" s="13">
        <v>131</v>
      </c>
      <c r="B142" s="16" t="s">
        <v>662</v>
      </c>
      <c r="C142" s="9">
        <v>20</v>
      </c>
      <c r="D142" s="11" t="str">
        <f t="shared" ca="1" si="2"/>
        <v>20 বছর 9 মাস 23 দিন</v>
      </c>
      <c r="E142" s="16" t="s">
        <v>663</v>
      </c>
      <c r="F142" s="9">
        <v>29576</v>
      </c>
      <c r="G142" s="17">
        <v>45832</v>
      </c>
      <c r="H142" s="16" t="s">
        <v>664</v>
      </c>
      <c r="I142" s="9" t="s">
        <v>48</v>
      </c>
      <c r="J142" s="16" t="s">
        <v>665</v>
      </c>
      <c r="K142" s="16" t="s">
        <v>50</v>
      </c>
      <c r="L142" s="17">
        <v>45846</v>
      </c>
      <c r="M142" s="9"/>
      <c r="N142" s="9" t="s">
        <v>491</v>
      </c>
      <c r="O142" s="11" t="s">
        <v>51</v>
      </c>
      <c r="P142" s="9" t="s">
        <v>666</v>
      </c>
      <c r="Q142" s="11"/>
    </row>
    <row r="143" spans="1:17" ht="66" x14ac:dyDescent="0.25">
      <c r="A143" s="13">
        <v>132</v>
      </c>
      <c r="B143" s="16" t="s">
        <v>667</v>
      </c>
      <c r="C143" s="9"/>
      <c r="D143" s="11"/>
      <c r="E143" s="11" t="s">
        <v>668</v>
      </c>
      <c r="F143" s="14">
        <v>29605</v>
      </c>
      <c r="G143" s="17">
        <v>45837</v>
      </c>
      <c r="H143" s="11" t="s">
        <v>669</v>
      </c>
      <c r="I143" s="11" t="s">
        <v>38</v>
      </c>
      <c r="J143" s="11" t="s">
        <v>670</v>
      </c>
      <c r="K143" s="16" t="s">
        <v>50</v>
      </c>
      <c r="L143" s="23"/>
      <c r="M143" s="9"/>
      <c r="N143" s="9" t="s">
        <v>30</v>
      </c>
      <c r="O143" s="11" t="s">
        <v>31</v>
      </c>
      <c r="P143" s="11" t="s">
        <v>537</v>
      </c>
      <c r="Q143" s="11"/>
    </row>
    <row r="144" spans="1:17" ht="66" x14ac:dyDescent="0.25">
      <c r="A144" s="13">
        <v>133</v>
      </c>
      <c r="B144" s="16" t="s">
        <v>671</v>
      </c>
      <c r="C144" s="9" t="s">
        <v>672</v>
      </c>
      <c r="D144" s="11" t="e">
        <f ca="1">C144+E144(G144,TODAY(),"y")&amp;" "&amp;"বছর"&amp;" "&amp;DATEDIF(G144,TODAY(),"ym")&amp;" "&amp;"মাস"&amp;" "&amp;DATEDIF(G144,TODAY(),"md")&amp;" "&amp;"দিন"</f>
        <v>#VALUE!</v>
      </c>
      <c r="E144" s="16" t="s">
        <v>673</v>
      </c>
      <c r="F144" s="9">
        <v>29624</v>
      </c>
      <c r="G144" s="17">
        <v>45838</v>
      </c>
      <c r="H144" s="16" t="s">
        <v>674</v>
      </c>
      <c r="I144" s="9" t="s">
        <v>48</v>
      </c>
      <c r="J144" s="16" t="s">
        <v>675</v>
      </c>
      <c r="K144" s="16" t="s">
        <v>50</v>
      </c>
      <c r="L144" s="17">
        <v>45841</v>
      </c>
      <c r="M144" s="9"/>
      <c r="N144" s="9" t="s">
        <v>308</v>
      </c>
      <c r="O144" s="11" t="s">
        <v>34</v>
      </c>
      <c r="P144" s="9" t="s">
        <v>192</v>
      </c>
      <c r="Q144" s="11"/>
    </row>
    <row r="145" spans="1:17" s="18" customFormat="1" ht="99" x14ac:dyDescent="0.25">
      <c r="A145" s="13">
        <v>134</v>
      </c>
      <c r="B145" s="16" t="s">
        <v>676</v>
      </c>
      <c r="C145" s="9">
        <v>16</v>
      </c>
      <c r="D145" s="11" t="str">
        <f t="shared" ref="D145:D152" ca="1" si="3">C145+DATEDIF(G145,TODAY(),"y")&amp;" "&amp;"বছর"&amp;" "&amp;DATEDIF(G145,TODAY(),"ym")&amp;" "&amp;"মাস"&amp;" "&amp;DATEDIF(G145,TODAY(),"md")&amp;" "&amp;"দিন"</f>
        <v>16 বছর 9 মাস 14 দিন</v>
      </c>
      <c r="E145" s="11" t="s">
        <v>677</v>
      </c>
      <c r="F145" s="14">
        <v>29634</v>
      </c>
      <c r="G145" s="17">
        <v>45840</v>
      </c>
      <c r="H145" s="11" t="s">
        <v>678</v>
      </c>
      <c r="I145" s="11" t="s">
        <v>38</v>
      </c>
      <c r="J145" s="11" t="s">
        <v>679</v>
      </c>
      <c r="K145" s="16" t="s">
        <v>50</v>
      </c>
      <c r="L145" s="23">
        <v>45902</v>
      </c>
      <c r="M145" s="9"/>
      <c r="N145" s="9" t="s">
        <v>30</v>
      </c>
      <c r="O145" s="11" t="s">
        <v>31</v>
      </c>
      <c r="P145" s="11" t="s">
        <v>680</v>
      </c>
      <c r="Q145" s="11"/>
    </row>
    <row r="146" spans="1:17" ht="66" x14ac:dyDescent="0.25">
      <c r="A146" s="13">
        <v>135</v>
      </c>
      <c r="B146" s="11" t="s">
        <v>681</v>
      </c>
      <c r="C146" s="9">
        <v>17</v>
      </c>
      <c r="D146" s="11" t="str">
        <f t="shared" ca="1" si="3"/>
        <v>17 বছর 9 মাস 14 দিন</v>
      </c>
      <c r="E146" s="11" t="s">
        <v>682</v>
      </c>
      <c r="F146" s="14">
        <v>29647</v>
      </c>
      <c r="G146" s="20">
        <v>45840</v>
      </c>
      <c r="H146" s="11" t="s">
        <v>683</v>
      </c>
      <c r="I146" s="11" t="s">
        <v>202</v>
      </c>
      <c r="J146" s="11" t="s">
        <v>684</v>
      </c>
      <c r="K146" s="11" t="s">
        <v>132</v>
      </c>
      <c r="L146" s="17">
        <v>45924</v>
      </c>
      <c r="M146" s="9"/>
      <c r="N146" s="9" t="s">
        <v>30</v>
      </c>
      <c r="O146" s="11" t="s">
        <v>110</v>
      </c>
      <c r="P146" s="11" t="s">
        <v>685</v>
      </c>
      <c r="Q146" s="11"/>
    </row>
    <row r="147" spans="1:17" ht="82.5" x14ac:dyDescent="0.25">
      <c r="A147" s="13">
        <v>136</v>
      </c>
      <c r="B147" s="16" t="s">
        <v>686</v>
      </c>
      <c r="C147" s="9">
        <v>20</v>
      </c>
      <c r="D147" s="11" t="str">
        <f t="shared" ca="1" si="3"/>
        <v>20 বছর 9 মাস 12 দিন</v>
      </c>
      <c r="E147" s="16" t="s">
        <v>687</v>
      </c>
      <c r="F147" s="9">
        <v>29656</v>
      </c>
      <c r="G147" s="17">
        <v>45842</v>
      </c>
      <c r="H147" s="16" t="s">
        <v>688</v>
      </c>
      <c r="I147" s="9" t="s">
        <v>48</v>
      </c>
      <c r="J147" s="16" t="s">
        <v>689</v>
      </c>
      <c r="K147" s="16" t="s">
        <v>50</v>
      </c>
      <c r="L147" s="17">
        <v>45796</v>
      </c>
      <c r="M147" s="9"/>
      <c r="N147" s="9" t="s">
        <v>245</v>
      </c>
      <c r="O147" s="11" t="s">
        <v>34</v>
      </c>
      <c r="P147" s="9" t="s">
        <v>690</v>
      </c>
      <c r="Q147" s="11"/>
    </row>
    <row r="148" spans="1:17" ht="66" x14ac:dyDescent="0.25">
      <c r="A148" s="13">
        <v>137</v>
      </c>
      <c r="B148" s="11" t="s">
        <v>691</v>
      </c>
      <c r="C148" s="9">
        <v>16</v>
      </c>
      <c r="D148" s="11" t="str">
        <f t="shared" ca="1" si="3"/>
        <v>16 বছর 9 মাস 12 দিন</v>
      </c>
      <c r="E148" s="11" t="s">
        <v>692</v>
      </c>
      <c r="F148" s="14">
        <v>29659</v>
      </c>
      <c r="G148" s="20">
        <v>45842</v>
      </c>
      <c r="H148" s="11" t="s">
        <v>693</v>
      </c>
      <c r="I148" s="22" t="s">
        <v>196</v>
      </c>
      <c r="J148" s="11" t="s">
        <v>694</v>
      </c>
      <c r="K148" s="16" t="s">
        <v>50</v>
      </c>
      <c r="L148" s="17">
        <v>45845</v>
      </c>
      <c r="M148" s="9"/>
      <c r="N148" s="9" t="s">
        <v>30</v>
      </c>
      <c r="O148" s="11" t="s">
        <v>31</v>
      </c>
      <c r="P148" s="16" t="s">
        <v>695</v>
      </c>
      <c r="Q148" s="11"/>
    </row>
    <row r="149" spans="1:17" ht="66" x14ac:dyDescent="0.25">
      <c r="A149" s="13">
        <v>138</v>
      </c>
      <c r="B149" s="16" t="s">
        <v>696</v>
      </c>
      <c r="C149" s="14">
        <v>15</v>
      </c>
      <c r="D149" s="11" t="str">
        <f t="shared" ca="1" si="3"/>
        <v>15 বছর 9 মাস 12 দিন</v>
      </c>
      <c r="E149" s="11" t="s">
        <v>697</v>
      </c>
      <c r="F149" s="14">
        <v>29660</v>
      </c>
      <c r="G149" s="17">
        <v>45842</v>
      </c>
      <c r="H149" s="11" t="s">
        <v>698</v>
      </c>
      <c r="I149" s="9" t="s">
        <v>27</v>
      </c>
      <c r="J149" s="11" t="s">
        <v>699</v>
      </c>
      <c r="K149" s="16" t="s">
        <v>50</v>
      </c>
      <c r="L149" s="11"/>
      <c r="M149" s="9"/>
      <c r="N149" s="9" t="s">
        <v>30</v>
      </c>
      <c r="O149" s="11" t="s">
        <v>31</v>
      </c>
      <c r="P149" s="9" t="s">
        <v>69</v>
      </c>
      <c r="Q149" s="11"/>
    </row>
    <row r="150" spans="1:17" ht="82.5" x14ac:dyDescent="0.25">
      <c r="A150" s="13">
        <v>139</v>
      </c>
      <c r="B150" s="16" t="s">
        <v>700</v>
      </c>
      <c r="C150" s="9">
        <v>19</v>
      </c>
      <c r="D150" s="11" t="str">
        <f t="shared" ca="1" si="3"/>
        <v>19 বছর 9 মাস 11 দিন</v>
      </c>
      <c r="E150" s="11" t="s">
        <v>701</v>
      </c>
      <c r="F150" s="14">
        <v>29670</v>
      </c>
      <c r="G150" s="17">
        <v>45843</v>
      </c>
      <c r="H150" s="11" t="s">
        <v>702</v>
      </c>
      <c r="I150" s="11" t="s">
        <v>38</v>
      </c>
      <c r="J150" s="11" t="s">
        <v>703</v>
      </c>
      <c r="K150" s="16" t="s">
        <v>50</v>
      </c>
      <c r="L150" s="23">
        <v>45886</v>
      </c>
      <c r="M150" s="9"/>
      <c r="N150" s="9" t="s">
        <v>30</v>
      </c>
      <c r="O150" s="11" t="s">
        <v>51</v>
      </c>
      <c r="P150" s="9" t="s">
        <v>584</v>
      </c>
      <c r="Q150" s="11"/>
    </row>
    <row r="151" spans="1:17" ht="49.5" x14ac:dyDescent="0.25">
      <c r="A151" s="13">
        <v>140</v>
      </c>
      <c r="B151" s="11" t="s">
        <v>704</v>
      </c>
      <c r="C151" s="9">
        <v>17</v>
      </c>
      <c r="D151" s="11" t="str">
        <f t="shared" ca="1" si="3"/>
        <v>17 বছর 9 মাস 11 দিন</v>
      </c>
      <c r="E151" s="11" t="s">
        <v>705</v>
      </c>
      <c r="F151" s="14">
        <v>29672</v>
      </c>
      <c r="G151" s="20">
        <v>45843</v>
      </c>
      <c r="H151" s="11" t="s">
        <v>706</v>
      </c>
      <c r="I151" s="11" t="s">
        <v>292</v>
      </c>
      <c r="J151" s="11" t="s">
        <v>707</v>
      </c>
      <c r="K151" s="11" t="s">
        <v>132</v>
      </c>
      <c r="L151" s="11"/>
      <c r="M151" s="9"/>
      <c r="N151" s="9" t="s">
        <v>30</v>
      </c>
      <c r="O151" s="11" t="s">
        <v>51</v>
      </c>
      <c r="P151" s="16" t="s">
        <v>158</v>
      </c>
      <c r="Q151" s="11" t="s">
        <v>159</v>
      </c>
    </row>
    <row r="152" spans="1:17" ht="66" x14ac:dyDescent="0.25">
      <c r="A152" s="13">
        <v>141</v>
      </c>
      <c r="B152" s="16" t="s">
        <v>708</v>
      </c>
      <c r="C152" s="9">
        <v>17</v>
      </c>
      <c r="D152" s="11" t="str">
        <f t="shared" ca="1" si="3"/>
        <v>17 বছর 9 মাস 8 দিন</v>
      </c>
      <c r="E152" s="16" t="s">
        <v>709</v>
      </c>
      <c r="F152" s="9">
        <v>29688</v>
      </c>
      <c r="G152" s="17">
        <v>45846</v>
      </c>
      <c r="H152" s="16" t="s">
        <v>710</v>
      </c>
      <c r="I152" s="9" t="s">
        <v>48</v>
      </c>
      <c r="J152" s="16" t="s">
        <v>472</v>
      </c>
      <c r="K152" s="16" t="s">
        <v>50</v>
      </c>
      <c r="L152" s="17">
        <v>45896</v>
      </c>
      <c r="M152" s="9"/>
      <c r="N152" s="9" t="s">
        <v>491</v>
      </c>
      <c r="O152" s="11" t="s">
        <v>110</v>
      </c>
      <c r="P152" s="9" t="s">
        <v>217</v>
      </c>
      <c r="Q152" s="11"/>
    </row>
    <row r="153" spans="1:17" ht="66" x14ac:dyDescent="0.25">
      <c r="A153" s="13">
        <v>142</v>
      </c>
      <c r="B153" s="16" t="s">
        <v>711</v>
      </c>
      <c r="C153" s="9" t="s">
        <v>352</v>
      </c>
      <c r="D153" s="11"/>
      <c r="E153" s="16" t="s">
        <v>712</v>
      </c>
      <c r="F153" s="9">
        <v>29709</v>
      </c>
      <c r="G153" s="17">
        <v>45849</v>
      </c>
      <c r="H153" s="16" t="s">
        <v>713</v>
      </c>
      <c r="I153" s="9" t="s">
        <v>48</v>
      </c>
      <c r="J153" s="16" t="s">
        <v>115</v>
      </c>
      <c r="K153" s="16" t="s">
        <v>50</v>
      </c>
      <c r="L153" s="9"/>
      <c r="M153" s="9"/>
      <c r="N153" s="9" t="s">
        <v>574</v>
      </c>
      <c r="O153" s="11" t="s">
        <v>51</v>
      </c>
      <c r="P153" s="9" t="s">
        <v>204</v>
      </c>
      <c r="Q153" s="11"/>
    </row>
    <row r="154" spans="1:17" ht="66" x14ac:dyDescent="0.25">
      <c r="A154" s="13">
        <v>143</v>
      </c>
      <c r="B154" s="16" t="s">
        <v>714</v>
      </c>
      <c r="C154" s="9" t="s">
        <v>352</v>
      </c>
      <c r="D154" s="11" t="e">
        <f t="shared" ref="D154:D217" ca="1" si="4">C154+DATEDIF(G154,TODAY(),"y")&amp;" "&amp;"বছর"&amp;" "&amp;DATEDIF(G154,TODAY(),"ym")&amp;" "&amp;"মাস"&amp;" "&amp;DATEDIF(G154,TODAY(),"md")&amp;" "&amp;"দিন"</f>
        <v>#VALUE!</v>
      </c>
      <c r="E154" s="11" t="s">
        <v>715</v>
      </c>
      <c r="F154" s="14">
        <v>29724</v>
      </c>
      <c r="G154" s="17">
        <v>45850</v>
      </c>
      <c r="H154" s="11" t="s">
        <v>716</v>
      </c>
      <c r="I154" s="9" t="s">
        <v>27</v>
      </c>
      <c r="J154" s="11" t="s">
        <v>503</v>
      </c>
      <c r="K154" s="16" t="s">
        <v>50</v>
      </c>
      <c r="L154" s="11"/>
      <c r="M154" s="9"/>
      <c r="N154" s="9" t="s">
        <v>30</v>
      </c>
      <c r="O154" s="11" t="s">
        <v>51</v>
      </c>
      <c r="P154" s="9" t="s">
        <v>373</v>
      </c>
      <c r="Q154" s="11"/>
    </row>
    <row r="155" spans="1:17" s="18" customFormat="1" ht="66" x14ac:dyDescent="0.25">
      <c r="A155" s="13">
        <v>144</v>
      </c>
      <c r="B155" s="11" t="s">
        <v>717</v>
      </c>
      <c r="C155" s="9">
        <v>16</v>
      </c>
      <c r="D155" s="11" t="str">
        <f t="shared" ca="1" si="4"/>
        <v>16 বছর 9 মাস 4 দিন</v>
      </c>
      <c r="E155" s="11" t="s">
        <v>718</v>
      </c>
      <c r="F155" s="14">
        <v>29725</v>
      </c>
      <c r="G155" s="20">
        <v>45850</v>
      </c>
      <c r="H155" s="11" t="s">
        <v>719</v>
      </c>
      <c r="I155" s="11" t="s">
        <v>265</v>
      </c>
      <c r="J155" s="11" t="s">
        <v>720</v>
      </c>
      <c r="K155" s="16" t="s">
        <v>50</v>
      </c>
      <c r="L155" s="9"/>
      <c r="M155" s="9"/>
      <c r="N155" s="9" t="s">
        <v>30</v>
      </c>
      <c r="O155" s="11" t="s">
        <v>31</v>
      </c>
      <c r="P155" s="9" t="s">
        <v>69</v>
      </c>
      <c r="Q155" s="11"/>
    </row>
    <row r="156" spans="1:17" ht="82.5" x14ac:dyDescent="0.25">
      <c r="A156" s="13">
        <v>145</v>
      </c>
      <c r="B156" s="11" t="s">
        <v>721</v>
      </c>
      <c r="C156" s="9"/>
      <c r="D156" s="11" t="str">
        <f t="shared" ca="1" si="4"/>
        <v>0 বছর 9 মাস 2 দিন</v>
      </c>
      <c r="E156" s="11" t="s">
        <v>722</v>
      </c>
      <c r="F156" s="14">
        <v>29735</v>
      </c>
      <c r="G156" s="20">
        <v>45852</v>
      </c>
      <c r="H156" s="11" t="s">
        <v>723</v>
      </c>
      <c r="I156" s="11" t="s">
        <v>202</v>
      </c>
      <c r="J156" s="11" t="s">
        <v>724</v>
      </c>
      <c r="K156" s="11" t="s">
        <v>132</v>
      </c>
      <c r="L156" s="15">
        <v>45915</v>
      </c>
      <c r="M156" s="9"/>
      <c r="N156" s="9" t="s">
        <v>30</v>
      </c>
      <c r="O156" s="11" t="s">
        <v>31</v>
      </c>
      <c r="P156" s="11" t="s">
        <v>314</v>
      </c>
      <c r="Q156" s="11"/>
    </row>
    <row r="157" spans="1:17" ht="66" x14ac:dyDescent="0.25">
      <c r="A157" s="13">
        <v>146</v>
      </c>
      <c r="B157" s="16" t="s">
        <v>725</v>
      </c>
      <c r="C157" s="9">
        <v>11</v>
      </c>
      <c r="D157" s="11" t="str">
        <f t="shared" ca="1" si="4"/>
        <v>11 বছর 9 মাস 2 দিন</v>
      </c>
      <c r="E157" s="11" t="s">
        <v>726</v>
      </c>
      <c r="F157" s="14">
        <v>29737</v>
      </c>
      <c r="G157" s="17">
        <v>45852</v>
      </c>
      <c r="H157" s="11" t="s">
        <v>727</v>
      </c>
      <c r="I157" s="9" t="s">
        <v>27</v>
      </c>
      <c r="J157" s="11" t="s">
        <v>728</v>
      </c>
      <c r="K157" s="16" t="s">
        <v>50</v>
      </c>
      <c r="L157" s="11"/>
      <c r="M157" s="9"/>
      <c r="N157" s="9" t="s">
        <v>30</v>
      </c>
      <c r="O157" s="11" t="s">
        <v>31</v>
      </c>
      <c r="P157" s="11" t="s">
        <v>590</v>
      </c>
      <c r="Q157" s="11"/>
    </row>
    <row r="158" spans="1:17" ht="66" x14ac:dyDescent="0.25">
      <c r="A158" s="13">
        <v>147</v>
      </c>
      <c r="B158" s="11" t="s">
        <v>729</v>
      </c>
      <c r="C158" s="9">
        <v>13</v>
      </c>
      <c r="D158" s="11" t="str">
        <f t="shared" ca="1" si="4"/>
        <v>13 বছর 9 মাস 1 দিন</v>
      </c>
      <c r="E158" s="11" t="s">
        <v>730</v>
      </c>
      <c r="F158" s="14">
        <v>29742</v>
      </c>
      <c r="G158" s="20">
        <v>45853</v>
      </c>
      <c r="H158" s="11" t="s">
        <v>731</v>
      </c>
      <c r="I158" s="11" t="s">
        <v>265</v>
      </c>
      <c r="J158" s="11" t="s">
        <v>732</v>
      </c>
      <c r="K158" s="16" t="s">
        <v>50</v>
      </c>
      <c r="L158" s="9"/>
      <c r="M158" s="9"/>
      <c r="N158" s="9" t="s">
        <v>30</v>
      </c>
      <c r="O158" s="11" t="s">
        <v>31</v>
      </c>
      <c r="P158" s="11" t="s">
        <v>554</v>
      </c>
      <c r="Q158" s="11"/>
    </row>
    <row r="159" spans="1:17" ht="66" x14ac:dyDescent="0.25">
      <c r="A159" s="13">
        <v>148</v>
      </c>
      <c r="B159" s="11" t="s">
        <v>733</v>
      </c>
      <c r="C159" s="9">
        <v>16</v>
      </c>
      <c r="D159" s="11" t="str">
        <f t="shared" ca="1" si="4"/>
        <v>16 বছর 9 মাস 1 দিন</v>
      </c>
      <c r="E159" s="11" t="s">
        <v>734</v>
      </c>
      <c r="F159" s="14">
        <v>29745</v>
      </c>
      <c r="G159" s="20">
        <v>45853</v>
      </c>
      <c r="H159" s="11" t="s">
        <v>735</v>
      </c>
      <c r="I159" s="22" t="s">
        <v>196</v>
      </c>
      <c r="J159" s="11" t="s">
        <v>736</v>
      </c>
      <c r="K159" s="16" t="s">
        <v>50</v>
      </c>
      <c r="L159" s="17">
        <v>45895</v>
      </c>
      <c r="M159" s="9"/>
      <c r="N159" s="9" t="s">
        <v>30</v>
      </c>
      <c r="O159" s="11" t="s">
        <v>31</v>
      </c>
      <c r="P159" s="11" t="s">
        <v>198</v>
      </c>
      <c r="Q159" s="11"/>
    </row>
    <row r="160" spans="1:17" ht="66" x14ac:dyDescent="0.25">
      <c r="A160" s="13">
        <v>149</v>
      </c>
      <c r="B160" s="16" t="s">
        <v>737</v>
      </c>
      <c r="C160" s="9">
        <v>14</v>
      </c>
      <c r="D160" s="11" t="str">
        <f t="shared" ca="1" si="4"/>
        <v>14 বছর 9 মাস 1 দিন</v>
      </c>
      <c r="E160" s="11" t="s">
        <v>738</v>
      </c>
      <c r="F160" s="14">
        <v>29750</v>
      </c>
      <c r="G160" s="17">
        <v>45853</v>
      </c>
      <c r="H160" s="11" t="s">
        <v>739</v>
      </c>
      <c r="I160" s="9" t="s">
        <v>27</v>
      </c>
      <c r="J160" s="11" t="s">
        <v>740</v>
      </c>
      <c r="K160" s="16" t="s">
        <v>50</v>
      </c>
      <c r="L160" s="15">
        <v>45938</v>
      </c>
      <c r="M160" s="9"/>
      <c r="N160" s="9" t="s">
        <v>516</v>
      </c>
      <c r="O160" s="11" t="s">
        <v>31</v>
      </c>
      <c r="P160" s="11" t="s">
        <v>741</v>
      </c>
      <c r="Q160" s="11"/>
    </row>
    <row r="161" spans="1:17" ht="66" x14ac:dyDescent="0.25">
      <c r="A161" s="13">
        <v>150</v>
      </c>
      <c r="B161" s="16" t="s">
        <v>742</v>
      </c>
      <c r="C161" s="9">
        <v>17</v>
      </c>
      <c r="D161" s="11" t="str">
        <f t="shared" ca="1" si="4"/>
        <v>17 বছর 8 মাস 30 দিন</v>
      </c>
      <c r="E161" s="11" t="s">
        <v>743</v>
      </c>
      <c r="F161" s="14">
        <v>29754</v>
      </c>
      <c r="G161" s="17">
        <v>45855</v>
      </c>
      <c r="H161" s="11" t="s">
        <v>744</v>
      </c>
      <c r="I161" s="9" t="s">
        <v>27</v>
      </c>
      <c r="J161" s="11" t="s">
        <v>745</v>
      </c>
      <c r="K161" s="16" t="s">
        <v>50</v>
      </c>
      <c r="L161" s="11"/>
      <c r="M161" s="9"/>
      <c r="N161" s="9" t="s">
        <v>30</v>
      </c>
      <c r="O161" s="11" t="s">
        <v>34</v>
      </c>
      <c r="P161" s="16" t="s">
        <v>158</v>
      </c>
      <c r="Q161" s="11" t="s">
        <v>288</v>
      </c>
    </row>
    <row r="162" spans="1:17" ht="66" x14ac:dyDescent="0.25">
      <c r="A162" s="13">
        <v>151</v>
      </c>
      <c r="B162" s="16" t="s">
        <v>746</v>
      </c>
      <c r="C162" s="14">
        <v>15</v>
      </c>
      <c r="D162" s="11" t="str">
        <f t="shared" ca="1" si="4"/>
        <v>15 বছর 8 মাস 30 দিন</v>
      </c>
      <c r="E162" s="11" t="s">
        <v>747</v>
      </c>
      <c r="F162" s="14">
        <v>29755</v>
      </c>
      <c r="G162" s="17">
        <v>45855</v>
      </c>
      <c r="H162" s="11" t="s">
        <v>748</v>
      </c>
      <c r="I162" s="9" t="s">
        <v>27</v>
      </c>
      <c r="J162" s="11" t="s">
        <v>61</v>
      </c>
      <c r="K162" s="16" t="s">
        <v>50</v>
      </c>
      <c r="L162" s="15">
        <v>45922</v>
      </c>
      <c r="M162" s="9"/>
      <c r="N162" s="9" t="s">
        <v>30</v>
      </c>
      <c r="O162" s="11" t="s">
        <v>31</v>
      </c>
      <c r="P162" s="9" t="s">
        <v>69</v>
      </c>
      <c r="Q162" s="11"/>
    </row>
    <row r="163" spans="1:17" ht="66" x14ac:dyDescent="0.25">
      <c r="A163" s="13">
        <v>152</v>
      </c>
      <c r="B163" s="11" t="s">
        <v>749</v>
      </c>
      <c r="C163" s="9">
        <v>16</v>
      </c>
      <c r="D163" s="11" t="str">
        <f t="shared" ca="1" si="4"/>
        <v>16 বছর 8 মাস 28 দিন</v>
      </c>
      <c r="E163" s="11" t="s">
        <v>750</v>
      </c>
      <c r="F163" s="14">
        <v>29777</v>
      </c>
      <c r="G163" s="20">
        <v>45857</v>
      </c>
      <c r="H163" s="11" t="s">
        <v>751</v>
      </c>
      <c r="I163" s="11" t="s">
        <v>265</v>
      </c>
      <c r="J163" s="11" t="s">
        <v>752</v>
      </c>
      <c r="K163" s="16" t="s">
        <v>50</v>
      </c>
      <c r="L163" s="9"/>
      <c r="M163" s="9"/>
      <c r="N163" s="9" t="s">
        <v>30</v>
      </c>
      <c r="O163" s="11" t="s">
        <v>31</v>
      </c>
      <c r="P163" s="11" t="s">
        <v>590</v>
      </c>
      <c r="Q163" s="11"/>
    </row>
    <row r="164" spans="1:17" ht="66" x14ac:dyDescent="0.25">
      <c r="A164" s="13">
        <v>153</v>
      </c>
      <c r="B164" s="11" t="s">
        <v>753</v>
      </c>
      <c r="C164" s="9">
        <v>16</v>
      </c>
      <c r="D164" s="11" t="str">
        <f t="shared" ca="1" si="4"/>
        <v>16 বছর 8 মাস 28 দিন</v>
      </c>
      <c r="E164" s="11" t="s">
        <v>754</v>
      </c>
      <c r="F164" s="14">
        <v>29779</v>
      </c>
      <c r="G164" s="20">
        <v>45857</v>
      </c>
      <c r="H164" s="11" t="s">
        <v>755</v>
      </c>
      <c r="I164" s="11" t="s">
        <v>265</v>
      </c>
      <c r="J164" s="11" t="s">
        <v>756</v>
      </c>
      <c r="K164" s="16" t="s">
        <v>50</v>
      </c>
      <c r="L164" s="9"/>
      <c r="M164" s="9"/>
      <c r="N164" s="9" t="s">
        <v>30</v>
      </c>
      <c r="O164" s="11" t="s">
        <v>31</v>
      </c>
      <c r="P164" s="11" t="s">
        <v>174</v>
      </c>
      <c r="Q164" s="11"/>
    </row>
    <row r="165" spans="1:17" ht="66" x14ac:dyDescent="0.25">
      <c r="A165" s="13">
        <v>154</v>
      </c>
      <c r="B165" s="16" t="s">
        <v>757</v>
      </c>
      <c r="C165" s="9">
        <v>17</v>
      </c>
      <c r="D165" s="11" t="str">
        <f t="shared" ca="1" si="4"/>
        <v>17 বছর 8 মাস 25 দিন</v>
      </c>
      <c r="E165" s="11" t="s">
        <v>758</v>
      </c>
      <c r="F165" s="14">
        <v>29792</v>
      </c>
      <c r="G165" s="17">
        <v>45860</v>
      </c>
      <c r="H165" s="11" t="s">
        <v>759</v>
      </c>
      <c r="I165" s="9" t="s">
        <v>27</v>
      </c>
      <c r="J165" s="11" t="s">
        <v>760</v>
      </c>
      <c r="K165" s="16" t="s">
        <v>50</v>
      </c>
      <c r="L165" s="11"/>
      <c r="M165" s="9"/>
      <c r="N165" s="9" t="s">
        <v>30</v>
      </c>
      <c r="O165" s="11" t="s">
        <v>51</v>
      </c>
      <c r="P165" s="16" t="s">
        <v>158</v>
      </c>
      <c r="Q165" s="11" t="s">
        <v>761</v>
      </c>
    </row>
    <row r="166" spans="1:17" s="18" customFormat="1" ht="66" x14ac:dyDescent="0.25">
      <c r="A166" s="13">
        <v>155</v>
      </c>
      <c r="B166" s="16" t="s">
        <v>762</v>
      </c>
      <c r="C166" s="9" t="s">
        <v>352</v>
      </c>
      <c r="D166" s="11" t="e">
        <f t="shared" ca="1" si="4"/>
        <v>#VALUE!</v>
      </c>
      <c r="E166" s="11" t="s">
        <v>763</v>
      </c>
      <c r="F166" s="14">
        <v>29809</v>
      </c>
      <c r="G166" s="17">
        <v>45862</v>
      </c>
      <c r="H166" s="11" t="s">
        <v>764</v>
      </c>
      <c r="I166" s="9" t="s">
        <v>27</v>
      </c>
      <c r="J166" s="11" t="s">
        <v>765</v>
      </c>
      <c r="K166" s="16" t="s">
        <v>50</v>
      </c>
      <c r="L166" s="11"/>
      <c r="M166" s="9"/>
      <c r="N166" s="9" t="s">
        <v>30</v>
      </c>
      <c r="O166" s="11" t="s">
        <v>51</v>
      </c>
      <c r="P166" s="9" t="s">
        <v>373</v>
      </c>
      <c r="Q166" s="11"/>
    </row>
    <row r="167" spans="1:17" ht="66" x14ac:dyDescent="0.25">
      <c r="A167" s="13">
        <v>156</v>
      </c>
      <c r="B167" s="16" t="s">
        <v>766</v>
      </c>
      <c r="C167" s="9">
        <v>21</v>
      </c>
      <c r="D167" s="11" t="str">
        <f t="shared" ca="1" si="4"/>
        <v>21 বছর 8 মাস 22 দিন</v>
      </c>
      <c r="E167" s="16" t="s">
        <v>767</v>
      </c>
      <c r="F167" s="9">
        <v>29817</v>
      </c>
      <c r="G167" s="17">
        <v>45863</v>
      </c>
      <c r="H167" s="16" t="s">
        <v>768</v>
      </c>
      <c r="I167" s="9" t="s">
        <v>48</v>
      </c>
      <c r="J167" s="16" t="s">
        <v>115</v>
      </c>
      <c r="K167" s="16" t="s">
        <v>50</v>
      </c>
      <c r="L167" s="9"/>
      <c r="M167" s="9"/>
      <c r="N167" s="9" t="s">
        <v>62</v>
      </c>
      <c r="O167" s="11" t="s">
        <v>100</v>
      </c>
      <c r="P167" s="16" t="s">
        <v>695</v>
      </c>
      <c r="Q167" s="11"/>
    </row>
    <row r="168" spans="1:17" s="18" customFormat="1" ht="66" x14ac:dyDescent="0.25">
      <c r="A168" s="13">
        <v>157</v>
      </c>
      <c r="B168" s="16" t="s">
        <v>769</v>
      </c>
      <c r="C168" s="9">
        <v>16</v>
      </c>
      <c r="D168" s="11" t="str">
        <f t="shared" ca="1" si="4"/>
        <v>16 বছর 8 মাস 20 দিন</v>
      </c>
      <c r="E168" s="11" t="s">
        <v>770</v>
      </c>
      <c r="F168" s="14">
        <v>29842</v>
      </c>
      <c r="G168" s="17">
        <v>45865</v>
      </c>
      <c r="H168" s="11" t="s">
        <v>771</v>
      </c>
      <c r="I168" s="9" t="s">
        <v>27</v>
      </c>
      <c r="J168" s="11" t="s">
        <v>772</v>
      </c>
      <c r="K168" s="16" t="s">
        <v>50</v>
      </c>
      <c r="L168" s="11"/>
      <c r="M168" s="9"/>
      <c r="N168" s="9" t="s">
        <v>30</v>
      </c>
      <c r="O168" s="11" t="s">
        <v>31</v>
      </c>
      <c r="P168" s="9" t="s">
        <v>773</v>
      </c>
      <c r="Q168" s="11"/>
    </row>
    <row r="169" spans="1:17" ht="66" x14ac:dyDescent="0.25">
      <c r="A169" s="13">
        <v>158</v>
      </c>
      <c r="B169" s="16" t="s">
        <v>774</v>
      </c>
      <c r="C169" s="9">
        <v>16</v>
      </c>
      <c r="D169" s="11" t="str">
        <f t="shared" ca="1" si="4"/>
        <v>16 বছর 8 মাস 19 দিন</v>
      </c>
      <c r="E169" s="11" t="s">
        <v>775</v>
      </c>
      <c r="F169" s="14">
        <v>29851</v>
      </c>
      <c r="G169" s="17">
        <v>45866</v>
      </c>
      <c r="H169" s="11" t="s">
        <v>776</v>
      </c>
      <c r="I169" s="9" t="s">
        <v>27</v>
      </c>
      <c r="J169" s="11" t="s">
        <v>777</v>
      </c>
      <c r="K169" s="16" t="s">
        <v>50</v>
      </c>
      <c r="L169" s="11"/>
      <c r="M169" s="9"/>
      <c r="N169" s="9" t="s">
        <v>30</v>
      </c>
      <c r="O169" s="11" t="s">
        <v>31</v>
      </c>
      <c r="P169" s="9" t="s">
        <v>642</v>
      </c>
      <c r="Q169" s="11"/>
    </row>
    <row r="170" spans="1:17" ht="66" x14ac:dyDescent="0.25">
      <c r="A170" s="13">
        <v>159</v>
      </c>
      <c r="B170" s="11" t="s">
        <v>778</v>
      </c>
      <c r="C170" s="9">
        <v>17</v>
      </c>
      <c r="D170" s="11" t="str">
        <f t="shared" ca="1" si="4"/>
        <v>17 বছর 8 মাস 19 দিন</v>
      </c>
      <c r="E170" s="11" t="s">
        <v>779</v>
      </c>
      <c r="F170" s="14">
        <v>29854</v>
      </c>
      <c r="G170" s="20">
        <v>45866</v>
      </c>
      <c r="H170" s="11" t="s">
        <v>780</v>
      </c>
      <c r="I170" s="22" t="s">
        <v>196</v>
      </c>
      <c r="J170" s="11" t="s">
        <v>781</v>
      </c>
      <c r="K170" s="16" t="s">
        <v>50</v>
      </c>
      <c r="L170" s="17">
        <v>45887</v>
      </c>
      <c r="M170" s="9"/>
      <c r="N170" s="9" t="s">
        <v>30</v>
      </c>
      <c r="O170" s="11" t="s">
        <v>100</v>
      </c>
      <c r="P170" s="16" t="s">
        <v>158</v>
      </c>
      <c r="Q170" s="11" t="s">
        <v>782</v>
      </c>
    </row>
    <row r="171" spans="1:17" ht="66" x14ac:dyDescent="0.25">
      <c r="A171" s="13">
        <v>160</v>
      </c>
      <c r="B171" s="16" t="s">
        <v>783</v>
      </c>
      <c r="C171" s="9">
        <v>17</v>
      </c>
      <c r="D171" s="11" t="str">
        <f t="shared" ca="1" si="4"/>
        <v>17 বছর 8 মাস 18 দিন</v>
      </c>
      <c r="E171" s="11" t="s">
        <v>784</v>
      </c>
      <c r="F171" s="14">
        <v>29872</v>
      </c>
      <c r="G171" s="17">
        <v>45867</v>
      </c>
      <c r="H171" s="11" t="s">
        <v>785</v>
      </c>
      <c r="I171" s="9" t="s">
        <v>27</v>
      </c>
      <c r="J171" s="11" t="s">
        <v>786</v>
      </c>
      <c r="K171" s="16" t="s">
        <v>74</v>
      </c>
      <c r="L171" s="15">
        <v>45883</v>
      </c>
      <c r="M171" s="9"/>
      <c r="N171" s="9" t="s">
        <v>30</v>
      </c>
      <c r="O171" s="11" t="s">
        <v>100</v>
      </c>
      <c r="P171" s="11" t="s">
        <v>57</v>
      </c>
      <c r="Q171" s="11"/>
    </row>
    <row r="172" spans="1:17" ht="66" x14ac:dyDescent="0.25">
      <c r="A172" s="13">
        <v>161</v>
      </c>
      <c r="B172" s="16" t="s">
        <v>787</v>
      </c>
      <c r="C172" s="9">
        <v>17</v>
      </c>
      <c r="D172" s="11" t="str">
        <f t="shared" ca="1" si="4"/>
        <v>17 বছর 8 মাস 18 দিন</v>
      </c>
      <c r="E172" s="11" t="s">
        <v>788</v>
      </c>
      <c r="F172" s="14">
        <v>29873</v>
      </c>
      <c r="G172" s="17">
        <v>45867</v>
      </c>
      <c r="H172" s="11" t="s">
        <v>785</v>
      </c>
      <c r="I172" s="9" t="s">
        <v>27</v>
      </c>
      <c r="J172" s="11" t="s">
        <v>786</v>
      </c>
      <c r="K172" s="16" t="s">
        <v>74</v>
      </c>
      <c r="L172" s="15">
        <v>45883</v>
      </c>
      <c r="M172" s="9"/>
      <c r="N172" s="9" t="s">
        <v>30</v>
      </c>
      <c r="O172" s="11" t="s">
        <v>110</v>
      </c>
      <c r="P172" s="11" t="s">
        <v>57</v>
      </c>
      <c r="Q172" s="11"/>
    </row>
    <row r="173" spans="1:17" s="18" customFormat="1" ht="66" x14ac:dyDescent="0.25">
      <c r="A173" s="13">
        <v>162</v>
      </c>
      <c r="B173" s="16" t="s">
        <v>789</v>
      </c>
      <c r="C173" s="9">
        <v>16</v>
      </c>
      <c r="D173" s="11" t="str">
        <f t="shared" ca="1" si="4"/>
        <v>16 বছর 8 মাস 18 দিন</v>
      </c>
      <c r="E173" s="11" t="s">
        <v>788</v>
      </c>
      <c r="F173" s="14">
        <v>29874</v>
      </c>
      <c r="G173" s="17">
        <v>45867</v>
      </c>
      <c r="H173" s="11" t="s">
        <v>785</v>
      </c>
      <c r="I173" s="9" t="s">
        <v>27</v>
      </c>
      <c r="J173" s="11" t="s">
        <v>786</v>
      </c>
      <c r="K173" s="16" t="s">
        <v>74</v>
      </c>
      <c r="L173" s="15">
        <v>45883</v>
      </c>
      <c r="M173" s="9"/>
      <c r="N173" s="9" t="s">
        <v>30</v>
      </c>
      <c r="O173" s="11" t="s">
        <v>31</v>
      </c>
      <c r="P173" s="11" t="s">
        <v>57</v>
      </c>
      <c r="Q173" s="11"/>
    </row>
    <row r="174" spans="1:17" ht="66" x14ac:dyDescent="0.25">
      <c r="A174" s="13">
        <v>163</v>
      </c>
      <c r="B174" s="16" t="s">
        <v>790</v>
      </c>
      <c r="C174" s="14">
        <v>15</v>
      </c>
      <c r="D174" s="11" t="str">
        <f t="shared" ca="1" si="4"/>
        <v>15 বছর 8 মাস 18 দিন</v>
      </c>
      <c r="E174" s="11" t="s">
        <v>788</v>
      </c>
      <c r="F174" s="14">
        <v>29875</v>
      </c>
      <c r="G174" s="17">
        <v>45867</v>
      </c>
      <c r="H174" s="11" t="s">
        <v>785</v>
      </c>
      <c r="I174" s="9" t="s">
        <v>27</v>
      </c>
      <c r="J174" s="11" t="s">
        <v>786</v>
      </c>
      <c r="K174" s="16" t="s">
        <v>74</v>
      </c>
      <c r="L174" s="15">
        <v>45883</v>
      </c>
      <c r="M174" s="9"/>
      <c r="N174" s="9" t="s">
        <v>30</v>
      </c>
      <c r="O174" s="11" t="s">
        <v>31</v>
      </c>
      <c r="P174" s="11" t="s">
        <v>57</v>
      </c>
      <c r="Q174" s="11"/>
    </row>
    <row r="175" spans="1:17" ht="66" x14ac:dyDescent="0.25">
      <c r="A175" s="13">
        <v>164</v>
      </c>
      <c r="B175" s="16" t="s">
        <v>791</v>
      </c>
      <c r="C175" s="14">
        <v>15</v>
      </c>
      <c r="D175" s="11" t="str">
        <f t="shared" ca="1" si="4"/>
        <v>15 বছর 8 মাস 15 দিন</v>
      </c>
      <c r="E175" s="11" t="s">
        <v>792</v>
      </c>
      <c r="F175" s="14">
        <v>29893</v>
      </c>
      <c r="G175" s="17">
        <v>45870</v>
      </c>
      <c r="H175" s="11" t="s">
        <v>793</v>
      </c>
      <c r="I175" s="9" t="s">
        <v>27</v>
      </c>
      <c r="J175" s="11" t="s">
        <v>794</v>
      </c>
      <c r="K175" s="11" t="s">
        <v>50</v>
      </c>
      <c r="L175" s="23">
        <v>45916</v>
      </c>
      <c r="M175" s="9"/>
      <c r="N175" s="9" t="s">
        <v>30</v>
      </c>
      <c r="O175" s="11" t="s">
        <v>31</v>
      </c>
      <c r="P175" s="11" t="s">
        <v>795</v>
      </c>
      <c r="Q175" s="11"/>
    </row>
    <row r="176" spans="1:17" ht="66" x14ac:dyDescent="0.25">
      <c r="A176" s="13">
        <v>165</v>
      </c>
      <c r="B176" s="16" t="s">
        <v>796</v>
      </c>
      <c r="C176" s="9">
        <v>14</v>
      </c>
      <c r="D176" s="11" t="str">
        <f t="shared" ca="1" si="4"/>
        <v>14 বছর 8 মাস 14 দিন</v>
      </c>
      <c r="E176" s="11" t="s">
        <v>797</v>
      </c>
      <c r="F176" s="14">
        <v>29909</v>
      </c>
      <c r="G176" s="17">
        <v>45871</v>
      </c>
      <c r="H176" s="11" t="s">
        <v>798</v>
      </c>
      <c r="I176" s="11" t="s">
        <v>432</v>
      </c>
      <c r="J176" s="11" t="s">
        <v>799</v>
      </c>
      <c r="K176" s="11" t="s">
        <v>132</v>
      </c>
      <c r="L176" s="23" t="s">
        <v>800</v>
      </c>
      <c r="M176" s="9"/>
      <c r="N176" s="9" t="s">
        <v>30</v>
      </c>
      <c r="O176" s="11" t="s">
        <v>31</v>
      </c>
      <c r="P176" s="11" t="s">
        <v>795</v>
      </c>
      <c r="Q176" s="11"/>
    </row>
    <row r="177" spans="1:17" ht="66" x14ac:dyDescent="0.25">
      <c r="A177" s="13">
        <v>166</v>
      </c>
      <c r="B177" s="16" t="s">
        <v>801</v>
      </c>
      <c r="C177" s="9">
        <v>16</v>
      </c>
      <c r="D177" s="11" t="str">
        <f t="shared" ca="1" si="4"/>
        <v>16 বছর 8 মাস 14 দিন</v>
      </c>
      <c r="E177" s="11" t="s">
        <v>802</v>
      </c>
      <c r="F177" s="14">
        <v>29914</v>
      </c>
      <c r="G177" s="17">
        <v>45871</v>
      </c>
      <c r="H177" s="11" t="s">
        <v>803</v>
      </c>
      <c r="I177" s="11" t="s">
        <v>48</v>
      </c>
      <c r="J177" s="11" t="s">
        <v>804</v>
      </c>
      <c r="K177" s="11" t="s">
        <v>50</v>
      </c>
      <c r="L177" s="23">
        <v>45905</v>
      </c>
      <c r="M177" s="9"/>
      <c r="N177" s="9" t="s">
        <v>251</v>
      </c>
      <c r="O177" s="11" t="s">
        <v>31</v>
      </c>
      <c r="P177" s="9" t="s">
        <v>805</v>
      </c>
      <c r="Q177" s="11"/>
    </row>
    <row r="178" spans="1:17" ht="66" x14ac:dyDescent="0.25">
      <c r="A178" s="13">
        <v>167</v>
      </c>
      <c r="B178" s="16" t="s">
        <v>806</v>
      </c>
      <c r="C178" s="9">
        <v>17</v>
      </c>
      <c r="D178" s="11" t="str">
        <f t="shared" ca="1" si="4"/>
        <v>17 বছর 8 মাস 13 দিন</v>
      </c>
      <c r="E178" s="11" t="s">
        <v>807</v>
      </c>
      <c r="F178" s="14">
        <v>29915</v>
      </c>
      <c r="G178" s="17">
        <v>45872</v>
      </c>
      <c r="H178" s="11" t="s">
        <v>808</v>
      </c>
      <c r="I178" s="11" t="s">
        <v>48</v>
      </c>
      <c r="J178" s="11" t="s">
        <v>809</v>
      </c>
      <c r="K178" s="11" t="s">
        <v>50</v>
      </c>
      <c r="L178" s="23">
        <v>45905</v>
      </c>
      <c r="M178" s="9"/>
      <c r="N178" s="9" t="s">
        <v>251</v>
      </c>
      <c r="O178" s="11" t="s">
        <v>110</v>
      </c>
      <c r="P178" s="16" t="s">
        <v>81</v>
      </c>
      <c r="Q178" s="11" t="s">
        <v>82</v>
      </c>
    </row>
    <row r="179" spans="1:17" ht="82.5" x14ac:dyDescent="0.25">
      <c r="A179" s="13">
        <v>168</v>
      </c>
      <c r="B179" s="16" t="s">
        <v>810</v>
      </c>
      <c r="C179" s="14">
        <v>15</v>
      </c>
      <c r="D179" s="11" t="str">
        <f t="shared" ca="1" si="4"/>
        <v>15 বছর 8 মাস 13 দিন</v>
      </c>
      <c r="E179" s="11" t="s">
        <v>811</v>
      </c>
      <c r="F179" s="14">
        <v>29923</v>
      </c>
      <c r="G179" s="17">
        <v>45872</v>
      </c>
      <c r="H179" s="11" t="s">
        <v>812</v>
      </c>
      <c r="I179" s="9" t="s">
        <v>27</v>
      </c>
      <c r="J179" s="11" t="s">
        <v>813</v>
      </c>
      <c r="K179" s="11" t="s">
        <v>132</v>
      </c>
      <c r="L179" s="23"/>
      <c r="M179" s="9"/>
      <c r="N179" s="9" t="s">
        <v>30</v>
      </c>
      <c r="O179" s="11" t="s">
        <v>31</v>
      </c>
      <c r="P179" s="11" t="s">
        <v>814</v>
      </c>
      <c r="Q179" s="11"/>
    </row>
    <row r="180" spans="1:17" s="18" customFormat="1" ht="99" x14ac:dyDescent="0.25">
      <c r="A180" s="13">
        <v>169</v>
      </c>
      <c r="B180" s="16" t="s">
        <v>815</v>
      </c>
      <c r="C180" s="9">
        <v>20</v>
      </c>
      <c r="D180" s="11" t="str">
        <f t="shared" ca="1" si="4"/>
        <v>20 বছর 8 মাস 12 দিন</v>
      </c>
      <c r="E180" s="11" t="s">
        <v>816</v>
      </c>
      <c r="F180" s="14">
        <v>29928</v>
      </c>
      <c r="G180" s="17">
        <v>45873</v>
      </c>
      <c r="H180" s="11" t="s">
        <v>817</v>
      </c>
      <c r="I180" s="9" t="s">
        <v>27</v>
      </c>
      <c r="J180" s="11" t="s">
        <v>818</v>
      </c>
      <c r="K180" s="11" t="s">
        <v>50</v>
      </c>
      <c r="L180" s="23">
        <v>45875</v>
      </c>
      <c r="M180" s="9"/>
      <c r="N180" s="9" t="s">
        <v>30</v>
      </c>
      <c r="O180" s="11" t="s">
        <v>110</v>
      </c>
      <c r="P180" s="16" t="s">
        <v>158</v>
      </c>
      <c r="Q180" s="11" t="s">
        <v>819</v>
      </c>
    </row>
    <row r="181" spans="1:17" s="18" customFormat="1" ht="99" x14ac:dyDescent="0.25">
      <c r="A181" s="13">
        <v>170</v>
      </c>
      <c r="B181" s="16" t="s">
        <v>820</v>
      </c>
      <c r="C181" s="9">
        <v>19</v>
      </c>
      <c r="D181" s="11" t="str">
        <f t="shared" ca="1" si="4"/>
        <v>19 বছর 8 মাস 12 দিন</v>
      </c>
      <c r="E181" s="11" t="s">
        <v>816</v>
      </c>
      <c r="F181" s="14">
        <v>29929</v>
      </c>
      <c r="G181" s="17">
        <v>45873</v>
      </c>
      <c r="H181" s="11" t="s">
        <v>821</v>
      </c>
      <c r="I181" s="9" t="s">
        <v>27</v>
      </c>
      <c r="J181" s="11" t="s">
        <v>818</v>
      </c>
      <c r="K181" s="11" t="s">
        <v>50</v>
      </c>
      <c r="L181" s="23">
        <v>45876</v>
      </c>
      <c r="M181" s="9"/>
      <c r="N181" s="9" t="s">
        <v>30</v>
      </c>
      <c r="O181" s="11" t="s">
        <v>51</v>
      </c>
      <c r="P181" s="16" t="s">
        <v>158</v>
      </c>
      <c r="Q181" s="11" t="s">
        <v>819</v>
      </c>
    </row>
    <row r="182" spans="1:17" ht="66" x14ac:dyDescent="0.25">
      <c r="A182" s="13">
        <v>171</v>
      </c>
      <c r="B182" s="16" t="s">
        <v>822</v>
      </c>
      <c r="C182" s="9">
        <v>17</v>
      </c>
      <c r="D182" s="11" t="str">
        <f t="shared" ca="1" si="4"/>
        <v>17 বছর 8 মাস 11 দিন</v>
      </c>
      <c r="E182" s="11" t="s">
        <v>823</v>
      </c>
      <c r="F182" s="14">
        <v>29945</v>
      </c>
      <c r="G182" s="17">
        <v>45874</v>
      </c>
      <c r="H182" s="11" t="s">
        <v>824</v>
      </c>
      <c r="I182" s="11" t="s">
        <v>552</v>
      </c>
      <c r="J182" s="11" t="s">
        <v>825</v>
      </c>
      <c r="K182" s="11" t="s">
        <v>132</v>
      </c>
      <c r="L182" s="23" t="s">
        <v>826</v>
      </c>
      <c r="M182" s="9"/>
      <c r="N182" s="9" t="s">
        <v>30</v>
      </c>
      <c r="O182" s="11" t="s">
        <v>51</v>
      </c>
      <c r="P182" s="11" t="s">
        <v>680</v>
      </c>
      <c r="Q182" s="11"/>
    </row>
    <row r="183" spans="1:17" ht="66" x14ac:dyDescent="0.25">
      <c r="A183" s="13">
        <v>172</v>
      </c>
      <c r="B183" s="16" t="s">
        <v>827</v>
      </c>
      <c r="C183" s="9">
        <v>16</v>
      </c>
      <c r="D183" s="11" t="str">
        <f t="shared" ca="1" si="4"/>
        <v>16 বছর 8 মাস 8 দিন</v>
      </c>
      <c r="E183" s="11" t="s">
        <v>828</v>
      </c>
      <c r="F183" s="14">
        <v>29979</v>
      </c>
      <c r="G183" s="17">
        <v>45877</v>
      </c>
      <c r="H183" s="11" t="s">
        <v>829</v>
      </c>
      <c r="I183" s="9" t="s">
        <v>27</v>
      </c>
      <c r="J183" s="11" t="s">
        <v>830</v>
      </c>
      <c r="K183" s="11" t="s">
        <v>50</v>
      </c>
      <c r="L183" s="23">
        <v>45908</v>
      </c>
      <c r="M183" s="9"/>
      <c r="N183" s="9" t="s">
        <v>30</v>
      </c>
      <c r="O183" s="11" t="s">
        <v>31</v>
      </c>
      <c r="P183" s="16" t="s">
        <v>158</v>
      </c>
      <c r="Q183" s="11" t="s">
        <v>831</v>
      </c>
    </row>
    <row r="184" spans="1:17" ht="66" x14ac:dyDescent="0.25">
      <c r="A184" s="13">
        <v>173</v>
      </c>
      <c r="B184" s="16" t="s">
        <v>832</v>
      </c>
      <c r="C184" s="9">
        <v>16</v>
      </c>
      <c r="D184" s="11" t="str">
        <f t="shared" ca="1" si="4"/>
        <v>16 বছর 8 মাস 8 দিন</v>
      </c>
      <c r="E184" s="11" t="s">
        <v>833</v>
      </c>
      <c r="F184" s="14">
        <v>29984</v>
      </c>
      <c r="G184" s="17">
        <v>45877</v>
      </c>
      <c r="H184" s="11" t="s">
        <v>834</v>
      </c>
      <c r="I184" s="11" t="s">
        <v>38</v>
      </c>
      <c r="J184" s="11" t="s">
        <v>835</v>
      </c>
      <c r="K184" s="11" t="s">
        <v>50</v>
      </c>
      <c r="L184" s="23"/>
      <c r="M184" s="9"/>
      <c r="N184" s="9" t="s">
        <v>30</v>
      </c>
      <c r="O184" s="11" t="s">
        <v>31</v>
      </c>
      <c r="P184" s="16" t="s">
        <v>158</v>
      </c>
      <c r="Q184" s="11" t="s">
        <v>831</v>
      </c>
    </row>
    <row r="185" spans="1:17" ht="66" x14ac:dyDescent="0.25">
      <c r="A185" s="13">
        <v>174</v>
      </c>
      <c r="B185" s="16" t="s">
        <v>836</v>
      </c>
      <c r="C185" s="9">
        <v>13</v>
      </c>
      <c r="D185" s="11" t="str">
        <f t="shared" ca="1" si="4"/>
        <v>13 বছর 8 মাস 7 দিন</v>
      </c>
      <c r="E185" s="11" t="s">
        <v>837</v>
      </c>
      <c r="F185" s="14">
        <v>30002</v>
      </c>
      <c r="G185" s="17">
        <v>45878</v>
      </c>
      <c r="H185" s="11" t="s">
        <v>838</v>
      </c>
      <c r="I185" s="9" t="s">
        <v>27</v>
      </c>
      <c r="J185" s="11" t="s">
        <v>839</v>
      </c>
      <c r="K185" s="11" t="s">
        <v>50</v>
      </c>
      <c r="L185" s="23">
        <v>45904</v>
      </c>
      <c r="M185" s="9"/>
      <c r="N185" s="9" t="s">
        <v>30</v>
      </c>
      <c r="O185" s="11" t="s">
        <v>31</v>
      </c>
      <c r="P185" s="11" t="s">
        <v>537</v>
      </c>
      <c r="Q185" s="11"/>
    </row>
    <row r="186" spans="1:17" s="18" customFormat="1" ht="66" x14ac:dyDescent="0.25">
      <c r="A186" s="13">
        <v>175</v>
      </c>
      <c r="B186" s="16" t="s">
        <v>840</v>
      </c>
      <c r="C186" s="9">
        <v>17</v>
      </c>
      <c r="D186" s="11" t="str">
        <f t="shared" ca="1" si="4"/>
        <v>17 বছর 8 মাস 5 দিন</v>
      </c>
      <c r="E186" s="11" t="s">
        <v>841</v>
      </c>
      <c r="F186" s="14">
        <v>30020</v>
      </c>
      <c r="G186" s="17">
        <v>45880</v>
      </c>
      <c r="H186" s="11" t="s">
        <v>842</v>
      </c>
      <c r="I186" s="11" t="s">
        <v>843</v>
      </c>
      <c r="J186" s="11" t="s">
        <v>844</v>
      </c>
      <c r="K186" s="11" t="s">
        <v>50</v>
      </c>
      <c r="L186" s="23">
        <v>45897</v>
      </c>
      <c r="M186" s="9"/>
      <c r="N186" s="9" t="s">
        <v>30</v>
      </c>
      <c r="O186" s="11" t="s">
        <v>51</v>
      </c>
      <c r="P186" s="11" t="s">
        <v>554</v>
      </c>
      <c r="Q186" s="11"/>
    </row>
    <row r="187" spans="1:17" ht="66" x14ac:dyDescent="0.25">
      <c r="A187" s="13">
        <v>176</v>
      </c>
      <c r="B187" s="16" t="s">
        <v>845</v>
      </c>
      <c r="C187" s="14">
        <v>15</v>
      </c>
      <c r="D187" s="11" t="str">
        <f t="shared" ca="1" si="4"/>
        <v>15 বছর 8 মাস 5 দিন</v>
      </c>
      <c r="E187" s="11" t="s">
        <v>846</v>
      </c>
      <c r="F187" s="14">
        <v>30022</v>
      </c>
      <c r="G187" s="17">
        <v>45880</v>
      </c>
      <c r="H187" s="11" t="s">
        <v>847</v>
      </c>
      <c r="I187" s="11" t="s">
        <v>48</v>
      </c>
      <c r="J187" s="11" t="s">
        <v>848</v>
      </c>
      <c r="K187" s="11" t="s">
        <v>50</v>
      </c>
      <c r="L187" s="23">
        <v>45939</v>
      </c>
      <c r="M187" s="9"/>
      <c r="N187" s="9" t="s">
        <v>30</v>
      </c>
      <c r="O187" s="11" t="s">
        <v>31</v>
      </c>
      <c r="P187" s="11" t="s">
        <v>849</v>
      </c>
      <c r="Q187" s="11"/>
    </row>
    <row r="188" spans="1:17" ht="66" x14ac:dyDescent="0.25">
      <c r="A188" s="13">
        <v>177</v>
      </c>
      <c r="B188" s="16" t="s">
        <v>850</v>
      </c>
      <c r="C188" s="9">
        <v>16</v>
      </c>
      <c r="D188" s="11" t="str">
        <f t="shared" ca="1" si="4"/>
        <v>16 বছর 8 মাস 4 দিন</v>
      </c>
      <c r="E188" s="11" t="s">
        <v>851</v>
      </c>
      <c r="F188" s="14">
        <v>30023</v>
      </c>
      <c r="G188" s="17">
        <v>45881</v>
      </c>
      <c r="H188" s="11" t="s">
        <v>852</v>
      </c>
      <c r="I188" s="22" t="s">
        <v>196</v>
      </c>
      <c r="J188" s="11" t="s">
        <v>250</v>
      </c>
      <c r="K188" s="11" t="s">
        <v>50</v>
      </c>
      <c r="L188" s="23" t="s">
        <v>853</v>
      </c>
      <c r="M188" s="9"/>
      <c r="N188" s="9" t="s">
        <v>251</v>
      </c>
      <c r="O188" s="11" t="s">
        <v>31</v>
      </c>
      <c r="P188" s="16" t="s">
        <v>158</v>
      </c>
      <c r="Q188" s="11" t="s">
        <v>831</v>
      </c>
    </row>
    <row r="189" spans="1:17" s="18" customFormat="1" ht="66" x14ac:dyDescent="0.25">
      <c r="A189" s="13">
        <v>178</v>
      </c>
      <c r="B189" s="16" t="s">
        <v>854</v>
      </c>
      <c r="C189" s="9">
        <v>16</v>
      </c>
      <c r="D189" s="11" t="str">
        <f t="shared" ca="1" si="4"/>
        <v>16 বছর 8 মাস 4 দিন</v>
      </c>
      <c r="E189" s="11" t="s">
        <v>855</v>
      </c>
      <c r="F189" s="14">
        <v>30025</v>
      </c>
      <c r="G189" s="17">
        <v>45881</v>
      </c>
      <c r="H189" s="11" t="s">
        <v>856</v>
      </c>
      <c r="I189" s="11" t="s">
        <v>48</v>
      </c>
      <c r="J189" s="11" t="s">
        <v>857</v>
      </c>
      <c r="K189" s="11" t="s">
        <v>50</v>
      </c>
      <c r="L189" s="23">
        <v>43724</v>
      </c>
      <c r="M189" s="9"/>
      <c r="N189" s="9" t="s">
        <v>30</v>
      </c>
      <c r="O189" s="11" t="s">
        <v>31</v>
      </c>
      <c r="P189" s="11" t="s">
        <v>858</v>
      </c>
      <c r="Q189" s="11"/>
    </row>
    <row r="190" spans="1:17" s="18" customFormat="1" ht="66" x14ac:dyDescent="0.25">
      <c r="A190" s="13">
        <v>179</v>
      </c>
      <c r="B190" s="16" t="s">
        <v>859</v>
      </c>
      <c r="C190" s="9">
        <v>16</v>
      </c>
      <c r="D190" s="11" t="str">
        <f t="shared" ca="1" si="4"/>
        <v>16 বছর 8 মাস 2 দিন</v>
      </c>
      <c r="E190" s="11" t="s">
        <v>860</v>
      </c>
      <c r="F190" s="14">
        <v>30036</v>
      </c>
      <c r="G190" s="17">
        <v>45883</v>
      </c>
      <c r="H190" s="11" t="s">
        <v>861</v>
      </c>
      <c r="I190" s="9" t="s">
        <v>27</v>
      </c>
      <c r="J190" s="11" t="s">
        <v>862</v>
      </c>
      <c r="K190" s="11" t="s">
        <v>50</v>
      </c>
      <c r="L190" s="23">
        <v>45911</v>
      </c>
      <c r="M190" s="9"/>
      <c r="N190" s="9" t="s">
        <v>30</v>
      </c>
      <c r="O190" s="11" t="s">
        <v>31</v>
      </c>
      <c r="P190" s="16" t="s">
        <v>863</v>
      </c>
      <c r="Q190" s="11"/>
    </row>
    <row r="191" spans="1:17" ht="66" x14ac:dyDescent="0.25">
      <c r="A191" s="13">
        <v>180</v>
      </c>
      <c r="B191" s="16" t="s">
        <v>864</v>
      </c>
      <c r="C191" s="14">
        <v>15</v>
      </c>
      <c r="D191" s="11" t="str">
        <f t="shared" ca="1" si="4"/>
        <v>15 বছর 8 মাস 1 দিন</v>
      </c>
      <c r="E191" s="11" t="s">
        <v>865</v>
      </c>
      <c r="F191" s="14">
        <v>30044</v>
      </c>
      <c r="G191" s="17">
        <v>45884</v>
      </c>
      <c r="H191" s="11" t="s">
        <v>866</v>
      </c>
      <c r="I191" s="11" t="s">
        <v>867</v>
      </c>
      <c r="J191" s="11" t="s">
        <v>868</v>
      </c>
      <c r="K191" s="11" t="s">
        <v>50</v>
      </c>
      <c r="L191" s="23"/>
      <c r="M191" s="9"/>
      <c r="N191" s="9" t="s">
        <v>30</v>
      </c>
      <c r="O191" s="11" t="s">
        <v>31</v>
      </c>
      <c r="P191" s="11" t="s">
        <v>858</v>
      </c>
      <c r="Q191" s="11"/>
    </row>
    <row r="192" spans="1:17" ht="66" x14ac:dyDescent="0.25">
      <c r="A192" s="13">
        <v>181</v>
      </c>
      <c r="B192" s="16" t="s">
        <v>869</v>
      </c>
      <c r="C192" s="9">
        <v>14</v>
      </c>
      <c r="D192" s="11" t="str">
        <f t="shared" ca="1" si="4"/>
        <v>14 বছর 7 মাস 30 দিন</v>
      </c>
      <c r="E192" s="11" t="s">
        <v>870</v>
      </c>
      <c r="F192" s="14">
        <v>30064</v>
      </c>
      <c r="G192" s="17">
        <v>45886</v>
      </c>
      <c r="H192" s="11" t="s">
        <v>871</v>
      </c>
      <c r="I192" s="11" t="s">
        <v>588</v>
      </c>
      <c r="J192" s="11" t="s">
        <v>872</v>
      </c>
      <c r="K192" s="11" t="s">
        <v>50</v>
      </c>
      <c r="L192" s="23">
        <v>45908</v>
      </c>
      <c r="M192" s="9"/>
      <c r="N192" s="9" t="s">
        <v>30</v>
      </c>
      <c r="O192" s="11" t="s">
        <v>31</v>
      </c>
      <c r="P192" s="16" t="s">
        <v>158</v>
      </c>
      <c r="Q192" s="11" t="s">
        <v>873</v>
      </c>
    </row>
    <row r="193" spans="1:17" ht="66" x14ac:dyDescent="0.25">
      <c r="A193" s="13">
        <v>182</v>
      </c>
      <c r="B193" s="16" t="s">
        <v>874</v>
      </c>
      <c r="C193" s="9">
        <v>14</v>
      </c>
      <c r="D193" s="11" t="str">
        <f t="shared" ca="1" si="4"/>
        <v>14 বছর 7 মাস 30 দিন</v>
      </c>
      <c r="E193" s="11" t="s">
        <v>875</v>
      </c>
      <c r="F193" s="14">
        <v>30065</v>
      </c>
      <c r="G193" s="17">
        <v>45886</v>
      </c>
      <c r="H193" s="11" t="s">
        <v>871</v>
      </c>
      <c r="I193" s="11" t="s">
        <v>588</v>
      </c>
      <c r="J193" s="11" t="s">
        <v>872</v>
      </c>
      <c r="K193" s="11" t="s">
        <v>50</v>
      </c>
      <c r="L193" s="23">
        <v>45909</v>
      </c>
      <c r="M193" s="9"/>
      <c r="N193" s="9" t="s">
        <v>30</v>
      </c>
      <c r="O193" s="11" t="s">
        <v>31</v>
      </c>
      <c r="P193" s="16" t="s">
        <v>863</v>
      </c>
      <c r="Q193" s="11"/>
    </row>
    <row r="194" spans="1:17" ht="66" x14ac:dyDescent="0.25">
      <c r="A194" s="13">
        <v>183</v>
      </c>
      <c r="B194" s="16" t="s">
        <v>876</v>
      </c>
      <c r="C194" s="9">
        <v>12</v>
      </c>
      <c r="D194" s="11" t="str">
        <f t="shared" ca="1" si="4"/>
        <v>12 বছর 7 মাস 30 দিন</v>
      </c>
      <c r="E194" s="11" t="s">
        <v>877</v>
      </c>
      <c r="F194" s="14">
        <v>30071</v>
      </c>
      <c r="G194" s="17">
        <v>45886</v>
      </c>
      <c r="H194" s="11" t="s">
        <v>878</v>
      </c>
      <c r="I194" s="9" t="s">
        <v>27</v>
      </c>
      <c r="J194" s="11" t="s">
        <v>868</v>
      </c>
      <c r="K194" s="11" t="s">
        <v>50</v>
      </c>
      <c r="L194" s="23">
        <v>45901</v>
      </c>
      <c r="M194" s="9"/>
      <c r="N194" s="9" t="s">
        <v>30</v>
      </c>
      <c r="O194" s="11" t="s">
        <v>31</v>
      </c>
      <c r="P194" s="16" t="s">
        <v>863</v>
      </c>
      <c r="Q194" s="11"/>
    </row>
    <row r="195" spans="1:17" ht="66" x14ac:dyDescent="0.25">
      <c r="A195" s="13">
        <v>184</v>
      </c>
      <c r="B195" s="16" t="s">
        <v>879</v>
      </c>
      <c r="C195" s="9">
        <v>16</v>
      </c>
      <c r="D195" s="11" t="str">
        <f t="shared" ca="1" si="4"/>
        <v>16 বছর 7 মাস 29 দিন</v>
      </c>
      <c r="E195" s="11" t="s">
        <v>880</v>
      </c>
      <c r="F195" s="14">
        <v>30076</v>
      </c>
      <c r="G195" s="17">
        <v>45887</v>
      </c>
      <c r="H195" s="11" t="s">
        <v>881</v>
      </c>
      <c r="I195" s="11" t="s">
        <v>48</v>
      </c>
      <c r="J195" s="11" t="s">
        <v>882</v>
      </c>
      <c r="K195" s="11" t="s">
        <v>50</v>
      </c>
      <c r="L195" s="23">
        <v>45917</v>
      </c>
      <c r="M195" s="9"/>
      <c r="N195" s="9" t="s">
        <v>30</v>
      </c>
      <c r="O195" s="11" t="s">
        <v>31</v>
      </c>
      <c r="P195" s="11" t="s">
        <v>849</v>
      </c>
      <c r="Q195" s="11"/>
    </row>
    <row r="196" spans="1:17" ht="148.5" x14ac:dyDescent="0.25">
      <c r="A196" s="13">
        <v>185</v>
      </c>
      <c r="B196" s="16" t="s">
        <v>883</v>
      </c>
      <c r="C196" s="9">
        <v>17</v>
      </c>
      <c r="D196" s="11" t="str">
        <f t="shared" ca="1" si="4"/>
        <v>17 বছর 7 মাস 29 দিন</v>
      </c>
      <c r="E196" s="11" t="s">
        <v>884</v>
      </c>
      <c r="F196" s="14">
        <v>30077</v>
      </c>
      <c r="G196" s="17">
        <v>45887</v>
      </c>
      <c r="H196" s="11" t="s">
        <v>885</v>
      </c>
      <c r="I196" s="11" t="s">
        <v>265</v>
      </c>
      <c r="J196" s="11" t="s">
        <v>886</v>
      </c>
      <c r="K196" s="11" t="s">
        <v>50</v>
      </c>
      <c r="L196" s="23" t="s">
        <v>887</v>
      </c>
      <c r="M196" s="9"/>
      <c r="N196" s="9" t="s">
        <v>30</v>
      </c>
      <c r="O196" s="11" t="s">
        <v>51</v>
      </c>
      <c r="P196" s="11" t="s">
        <v>888</v>
      </c>
      <c r="Q196" s="11"/>
    </row>
    <row r="197" spans="1:17" ht="148.5" x14ac:dyDescent="0.25">
      <c r="A197" s="13">
        <v>186</v>
      </c>
      <c r="B197" s="16" t="s">
        <v>889</v>
      </c>
      <c r="C197" s="9">
        <v>17</v>
      </c>
      <c r="D197" s="11" t="str">
        <f t="shared" ca="1" si="4"/>
        <v>17 বছর 7 মাস 29 দিন</v>
      </c>
      <c r="E197" s="11" t="s">
        <v>890</v>
      </c>
      <c r="F197" s="14">
        <v>30078</v>
      </c>
      <c r="G197" s="17">
        <v>45887</v>
      </c>
      <c r="H197" s="11" t="s">
        <v>891</v>
      </c>
      <c r="I197" s="11" t="s">
        <v>265</v>
      </c>
      <c r="J197" s="11" t="s">
        <v>886</v>
      </c>
      <c r="K197" s="11" t="s">
        <v>50</v>
      </c>
      <c r="L197" s="23" t="s">
        <v>892</v>
      </c>
      <c r="M197" s="9"/>
      <c r="N197" s="9" t="s">
        <v>30</v>
      </c>
      <c r="O197" s="11" t="s">
        <v>51</v>
      </c>
      <c r="P197" s="11" t="s">
        <v>888</v>
      </c>
      <c r="Q197" s="11"/>
    </row>
    <row r="198" spans="1:17" ht="66" x14ac:dyDescent="0.25">
      <c r="A198" s="13">
        <v>187</v>
      </c>
      <c r="B198" s="16" t="s">
        <v>893</v>
      </c>
      <c r="C198" s="9">
        <v>17</v>
      </c>
      <c r="D198" s="11" t="str">
        <f t="shared" ca="1" si="4"/>
        <v>17 বছর 7 মাস 28 দিন</v>
      </c>
      <c r="E198" s="11" t="s">
        <v>894</v>
      </c>
      <c r="F198" s="14">
        <v>30088</v>
      </c>
      <c r="G198" s="17">
        <v>45888</v>
      </c>
      <c r="H198" s="11" t="s">
        <v>895</v>
      </c>
      <c r="I198" s="11" t="s">
        <v>292</v>
      </c>
      <c r="J198" s="11" t="s">
        <v>896</v>
      </c>
      <c r="K198" s="11" t="s">
        <v>50</v>
      </c>
      <c r="L198" s="23">
        <v>45938</v>
      </c>
      <c r="M198" s="9"/>
      <c r="N198" s="9" t="s">
        <v>897</v>
      </c>
      <c r="O198" s="11" t="s">
        <v>51</v>
      </c>
      <c r="P198" s="11" t="s">
        <v>858</v>
      </c>
      <c r="Q198" s="11"/>
    </row>
    <row r="199" spans="1:17" ht="66" x14ac:dyDescent="0.25">
      <c r="A199" s="13">
        <v>188</v>
      </c>
      <c r="B199" s="16" t="s">
        <v>898</v>
      </c>
      <c r="C199" s="9">
        <v>14</v>
      </c>
      <c r="D199" s="11" t="str">
        <f t="shared" ca="1" si="4"/>
        <v>14 বছর 7 মাস 28 দিন</v>
      </c>
      <c r="E199" s="11" t="s">
        <v>899</v>
      </c>
      <c r="F199" s="14">
        <v>30092</v>
      </c>
      <c r="G199" s="17">
        <v>45888</v>
      </c>
      <c r="H199" s="11" t="s">
        <v>900</v>
      </c>
      <c r="I199" s="22" t="s">
        <v>196</v>
      </c>
      <c r="J199" s="11" t="s">
        <v>901</v>
      </c>
      <c r="K199" s="11" t="s">
        <v>50</v>
      </c>
      <c r="L199" s="23">
        <v>45910</v>
      </c>
      <c r="M199" s="9"/>
      <c r="N199" s="9" t="s">
        <v>30</v>
      </c>
      <c r="O199" s="11" t="s">
        <v>31</v>
      </c>
      <c r="P199" s="11" t="s">
        <v>814</v>
      </c>
      <c r="Q199" s="11"/>
    </row>
    <row r="200" spans="1:17" ht="66" x14ac:dyDescent="0.25">
      <c r="A200" s="13">
        <v>189</v>
      </c>
      <c r="B200" s="16" t="s">
        <v>902</v>
      </c>
      <c r="C200" s="9">
        <v>14</v>
      </c>
      <c r="D200" s="11" t="str">
        <f t="shared" ca="1" si="4"/>
        <v>14 বছর 7 মাস 27 দিন</v>
      </c>
      <c r="E200" s="11" t="s">
        <v>903</v>
      </c>
      <c r="F200" s="14">
        <v>30097</v>
      </c>
      <c r="G200" s="17">
        <v>45889</v>
      </c>
      <c r="H200" s="11" t="s">
        <v>904</v>
      </c>
      <c r="I200" s="22" t="s">
        <v>196</v>
      </c>
      <c r="J200" s="11" t="s">
        <v>905</v>
      </c>
      <c r="K200" s="11" t="s">
        <v>50</v>
      </c>
      <c r="L200" s="23">
        <v>45895</v>
      </c>
      <c r="M200" s="9"/>
      <c r="N200" s="9" t="s">
        <v>30</v>
      </c>
      <c r="O200" s="11" t="s">
        <v>31</v>
      </c>
      <c r="P200" s="16" t="s">
        <v>863</v>
      </c>
      <c r="Q200" s="11"/>
    </row>
    <row r="201" spans="1:17" ht="66" x14ac:dyDescent="0.25">
      <c r="A201" s="13">
        <v>190</v>
      </c>
      <c r="B201" s="16" t="s">
        <v>906</v>
      </c>
      <c r="C201" s="9">
        <v>17</v>
      </c>
      <c r="D201" s="11" t="str">
        <f t="shared" ca="1" si="4"/>
        <v>17 বছর 7 মাস 27 দিন</v>
      </c>
      <c r="E201" s="11" t="s">
        <v>907</v>
      </c>
      <c r="F201" s="14">
        <v>30102</v>
      </c>
      <c r="G201" s="17">
        <v>45889</v>
      </c>
      <c r="H201" s="11" t="s">
        <v>908</v>
      </c>
      <c r="I201" s="9" t="s">
        <v>27</v>
      </c>
      <c r="J201" s="11" t="s">
        <v>909</v>
      </c>
      <c r="K201" s="11" t="s">
        <v>50</v>
      </c>
      <c r="L201" s="23">
        <v>45907</v>
      </c>
      <c r="M201" s="9"/>
      <c r="N201" s="9" t="s">
        <v>30</v>
      </c>
      <c r="O201" s="11" t="s">
        <v>34</v>
      </c>
      <c r="P201" s="16" t="s">
        <v>158</v>
      </c>
      <c r="Q201" s="11" t="s">
        <v>283</v>
      </c>
    </row>
    <row r="202" spans="1:17" ht="66" x14ac:dyDescent="0.25">
      <c r="A202" s="13">
        <v>191</v>
      </c>
      <c r="B202" s="16" t="s">
        <v>910</v>
      </c>
      <c r="C202" s="9">
        <v>17</v>
      </c>
      <c r="D202" s="11" t="str">
        <f t="shared" ca="1" si="4"/>
        <v>17 বছর 7 মাস 26 দিন</v>
      </c>
      <c r="E202" s="11" t="s">
        <v>911</v>
      </c>
      <c r="F202" s="14">
        <v>30108</v>
      </c>
      <c r="G202" s="17">
        <v>45890</v>
      </c>
      <c r="H202" s="11" t="s">
        <v>912</v>
      </c>
      <c r="I202" s="11" t="s">
        <v>48</v>
      </c>
      <c r="J202" s="11" t="s">
        <v>913</v>
      </c>
      <c r="K202" s="11" t="s">
        <v>50</v>
      </c>
      <c r="L202" s="23">
        <v>45827</v>
      </c>
      <c r="M202" s="9"/>
      <c r="N202" s="9" t="s">
        <v>30</v>
      </c>
      <c r="O202" s="11" t="s">
        <v>110</v>
      </c>
      <c r="P202" s="16" t="s">
        <v>863</v>
      </c>
      <c r="Q202" s="11"/>
    </row>
    <row r="203" spans="1:17" ht="66" x14ac:dyDescent="0.25">
      <c r="A203" s="13">
        <v>192</v>
      </c>
      <c r="B203" s="16" t="s">
        <v>914</v>
      </c>
      <c r="C203" s="9"/>
      <c r="D203" s="11" t="str">
        <f t="shared" ca="1" si="4"/>
        <v>0 বছর 7 মাস 25 দিন</v>
      </c>
      <c r="E203" s="11" t="s">
        <v>915</v>
      </c>
      <c r="F203" s="14">
        <v>30117</v>
      </c>
      <c r="G203" s="17">
        <v>45891</v>
      </c>
      <c r="H203" s="11" t="s">
        <v>916</v>
      </c>
      <c r="I203" s="11" t="s">
        <v>38</v>
      </c>
      <c r="J203" s="11" t="s">
        <v>917</v>
      </c>
      <c r="K203" s="11" t="s">
        <v>50</v>
      </c>
      <c r="L203" s="23">
        <v>45930</v>
      </c>
      <c r="M203" s="9"/>
      <c r="N203" s="9" t="s">
        <v>516</v>
      </c>
      <c r="O203" s="11" t="s">
        <v>31</v>
      </c>
      <c r="P203" s="16" t="s">
        <v>695</v>
      </c>
      <c r="Q203" s="11"/>
    </row>
    <row r="204" spans="1:17" ht="66" x14ac:dyDescent="0.25">
      <c r="A204" s="13">
        <v>193</v>
      </c>
      <c r="B204" s="16" t="s">
        <v>918</v>
      </c>
      <c r="C204" s="9">
        <v>21</v>
      </c>
      <c r="D204" s="11" t="str">
        <f t="shared" ca="1" si="4"/>
        <v>21 বছর 7 মাস 25 দিন</v>
      </c>
      <c r="E204" s="11" t="s">
        <v>919</v>
      </c>
      <c r="F204" s="14">
        <v>30118</v>
      </c>
      <c r="G204" s="17">
        <v>45891</v>
      </c>
      <c r="H204" s="11" t="s">
        <v>920</v>
      </c>
      <c r="I204" s="11" t="s">
        <v>38</v>
      </c>
      <c r="J204" s="11" t="s">
        <v>921</v>
      </c>
      <c r="K204" s="11" t="s">
        <v>50</v>
      </c>
      <c r="L204" s="23">
        <v>45922</v>
      </c>
      <c r="M204" s="9"/>
      <c r="N204" s="9" t="s">
        <v>30</v>
      </c>
      <c r="O204" s="11" t="s">
        <v>100</v>
      </c>
      <c r="P204" s="16" t="s">
        <v>695</v>
      </c>
      <c r="Q204" s="11"/>
    </row>
    <row r="205" spans="1:17" ht="66" x14ac:dyDescent="0.25">
      <c r="A205" s="13">
        <v>194</v>
      </c>
      <c r="B205" s="16" t="s">
        <v>922</v>
      </c>
      <c r="C205" s="9">
        <v>17</v>
      </c>
      <c r="D205" s="11" t="str">
        <f t="shared" ca="1" si="4"/>
        <v>17 বছর 7 মাস 25 দিন</v>
      </c>
      <c r="E205" s="11" t="s">
        <v>919</v>
      </c>
      <c r="F205" s="14">
        <v>30119</v>
      </c>
      <c r="G205" s="17">
        <v>45891</v>
      </c>
      <c r="H205" s="11" t="s">
        <v>920</v>
      </c>
      <c r="I205" s="11" t="s">
        <v>38</v>
      </c>
      <c r="J205" s="11" t="s">
        <v>921</v>
      </c>
      <c r="K205" s="11" t="s">
        <v>50</v>
      </c>
      <c r="L205" s="23">
        <v>45922</v>
      </c>
      <c r="M205" s="9"/>
      <c r="N205" s="9" t="s">
        <v>30</v>
      </c>
      <c r="O205" s="11" t="s">
        <v>31</v>
      </c>
      <c r="P205" s="11" t="s">
        <v>858</v>
      </c>
      <c r="Q205" s="11"/>
    </row>
    <row r="206" spans="1:17" s="18" customFormat="1" ht="66" x14ac:dyDescent="0.25">
      <c r="A206" s="13">
        <v>195</v>
      </c>
      <c r="B206" s="16" t="s">
        <v>923</v>
      </c>
      <c r="C206" s="9">
        <v>17</v>
      </c>
      <c r="D206" s="11" t="str">
        <f t="shared" ca="1" si="4"/>
        <v>17 বছর 7 মাস 25 দিন</v>
      </c>
      <c r="E206" s="11" t="s">
        <v>919</v>
      </c>
      <c r="F206" s="14">
        <v>30122</v>
      </c>
      <c r="G206" s="17">
        <v>45891</v>
      </c>
      <c r="H206" s="11" t="s">
        <v>920</v>
      </c>
      <c r="I206" s="11" t="s">
        <v>38</v>
      </c>
      <c r="J206" s="11" t="s">
        <v>921</v>
      </c>
      <c r="K206" s="11" t="s">
        <v>50</v>
      </c>
      <c r="L206" s="23">
        <v>45922</v>
      </c>
      <c r="M206" s="9"/>
      <c r="N206" s="9" t="s">
        <v>30</v>
      </c>
      <c r="O206" s="11" t="s">
        <v>100</v>
      </c>
      <c r="P206" s="11" t="s">
        <v>924</v>
      </c>
      <c r="Q206" s="11"/>
    </row>
    <row r="207" spans="1:17" ht="66" x14ac:dyDescent="0.25">
      <c r="A207" s="13">
        <v>196</v>
      </c>
      <c r="B207" s="16" t="s">
        <v>925</v>
      </c>
      <c r="C207" s="9" t="s">
        <v>648</v>
      </c>
      <c r="D207" s="11" t="e">
        <f t="shared" ca="1" si="4"/>
        <v>#VALUE!</v>
      </c>
      <c r="E207" s="11" t="s">
        <v>926</v>
      </c>
      <c r="F207" s="14">
        <v>30123</v>
      </c>
      <c r="G207" s="17">
        <v>45891</v>
      </c>
      <c r="H207" s="11" t="s">
        <v>927</v>
      </c>
      <c r="I207" s="9" t="s">
        <v>27</v>
      </c>
      <c r="J207" s="11" t="s">
        <v>928</v>
      </c>
      <c r="K207" s="11" t="s">
        <v>50</v>
      </c>
      <c r="L207" s="23">
        <v>45984</v>
      </c>
      <c r="M207" s="9"/>
      <c r="N207" s="9" t="s">
        <v>929</v>
      </c>
      <c r="O207" s="11" t="s">
        <v>51</v>
      </c>
      <c r="P207" s="16" t="s">
        <v>158</v>
      </c>
      <c r="Q207" s="11" t="s">
        <v>930</v>
      </c>
    </row>
    <row r="208" spans="1:17" ht="66" x14ac:dyDescent="0.25">
      <c r="A208" s="13">
        <v>197</v>
      </c>
      <c r="B208" s="16" t="s">
        <v>931</v>
      </c>
      <c r="C208" s="14">
        <v>15</v>
      </c>
      <c r="D208" s="11" t="str">
        <f t="shared" ca="1" si="4"/>
        <v>15 বছর 7 মাস 24 দিন</v>
      </c>
      <c r="E208" s="11" t="s">
        <v>932</v>
      </c>
      <c r="F208" s="14">
        <v>30130</v>
      </c>
      <c r="G208" s="17">
        <v>45892</v>
      </c>
      <c r="H208" s="11" t="s">
        <v>933</v>
      </c>
      <c r="I208" s="9" t="s">
        <v>27</v>
      </c>
      <c r="J208" s="11" t="s">
        <v>934</v>
      </c>
      <c r="K208" s="11" t="s">
        <v>50</v>
      </c>
      <c r="L208" s="23">
        <v>45939</v>
      </c>
      <c r="M208" s="9"/>
      <c r="N208" s="9" t="s">
        <v>30</v>
      </c>
      <c r="O208" s="11" t="s">
        <v>31</v>
      </c>
      <c r="P208" s="11" t="s">
        <v>858</v>
      </c>
      <c r="Q208" s="11"/>
    </row>
    <row r="209" spans="1:17" s="18" customFormat="1" ht="66" x14ac:dyDescent="0.25">
      <c r="A209" s="13">
        <v>198</v>
      </c>
      <c r="B209" s="16" t="s">
        <v>935</v>
      </c>
      <c r="C209" s="14">
        <v>15</v>
      </c>
      <c r="D209" s="11" t="str">
        <f t="shared" ca="1" si="4"/>
        <v>15 বছর 7 মাস 24 দিন</v>
      </c>
      <c r="E209" s="11" t="s">
        <v>932</v>
      </c>
      <c r="F209" s="14">
        <v>30131</v>
      </c>
      <c r="G209" s="17">
        <v>45892</v>
      </c>
      <c r="H209" s="11" t="s">
        <v>933</v>
      </c>
      <c r="I209" s="9" t="s">
        <v>27</v>
      </c>
      <c r="J209" s="11" t="s">
        <v>934</v>
      </c>
      <c r="K209" s="11" t="s">
        <v>50</v>
      </c>
      <c r="L209" s="23">
        <v>45939</v>
      </c>
      <c r="M209" s="9"/>
      <c r="N209" s="9" t="s">
        <v>30</v>
      </c>
      <c r="O209" s="11" t="s">
        <v>31</v>
      </c>
      <c r="P209" s="11" t="s">
        <v>858</v>
      </c>
      <c r="Q209" s="11"/>
    </row>
    <row r="210" spans="1:17" ht="82.5" x14ac:dyDescent="0.25">
      <c r="A210" s="13">
        <v>199</v>
      </c>
      <c r="B210" s="16" t="s">
        <v>936</v>
      </c>
      <c r="C210" s="9">
        <v>16</v>
      </c>
      <c r="D210" s="11" t="str">
        <f t="shared" ca="1" si="4"/>
        <v>16 বছর 7 মাস 23 দিন</v>
      </c>
      <c r="E210" s="11" t="s">
        <v>937</v>
      </c>
      <c r="F210" s="14">
        <v>30146</v>
      </c>
      <c r="G210" s="17">
        <v>45893</v>
      </c>
      <c r="H210" s="11" t="s">
        <v>938</v>
      </c>
      <c r="I210" s="11" t="s">
        <v>265</v>
      </c>
      <c r="J210" s="11" t="s">
        <v>939</v>
      </c>
      <c r="K210" s="11" t="s">
        <v>50</v>
      </c>
      <c r="L210" s="23">
        <v>45924</v>
      </c>
      <c r="M210" s="9"/>
      <c r="N210" s="9" t="s">
        <v>454</v>
      </c>
      <c r="O210" s="11" t="s">
        <v>31</v>
      </c>
      <c r="P210" s="9" t="s">
        <v>402</v>
      </c>
      <c r="Q210" s="11"/>
    </row>
    <row r="211" spans="1:17" ht="82.5" x14ac:dyDescent="0.25">
      <c r="A211" s="13">
        <v>200</v>
      </c>
      <c r="B211" s="16" t="s">
        <v>940</v>
      </c>
      <c r="C211" s="9">
        <v>17</v>
      </c>
      <c r="D211" s="11" t="str">
        <f t="shared" ca="1" si="4"/>
        <v>17 বছর 7 মাস 22 দিন</v>
      </c>
      <c r="E211" s="11" t="s">
        <v>941</v>
      </c>
      <c r="F211" s="14">
        <v>30154</v>
      </c>
      <c r="G211" s="17">
        <v>45894</v>
      </c>
      <c r="H211" s="11" t="s">
        <v>942</v>
      </c>
      <c r="I211" s="11" t="s">
        <v>552</v>
      </c>
      <c r="J211" s="11" t="s">
        <v>943</v>
      </c>
      <c r="K211" s="11" t="s">
        <v>50</v>
      </c>
      <c r="L211" s="23">
        <v>45908</v>
      </c>
      <c r="M211" s="9"/>
      <c r="N211" s="9" t="s">
        <v>30</v>
      </c>
      <c r="O211" s="11" t="s">
        <v>100</v>
      </c>
      <c r="P211" s="9" t="s">
        <v>402</v>
      </c>
      <c r="Q211" s="11"/>
    </row>
    <row r="212" spans="1:17" s="29" customFormat="1" ht="82.5" x14ac:dyDescent="0.25">
      <c r="A212" s="13">
        <v>201</v>
      </c>
      <c r="B212" s="16" t="s">
        <v>944</v>
      </c>
      <c r="C212" s="9">
        <v>16</v>
      </c>
      <c r="D212" s="11" t="str">
        <f t="shared" ca="1" si="4"/>
        <v>16 বছর 7 মাস 22 দিন</v>
      </c>
      <c r="E212" s="11" t="s">
        <v>945</v>
      </c>
      <c r="F212" s="14">
        <v>30164</v>
      </c>
      <c r="G212" s="17">
        <v>45894</v>
      </c>
      <c r="H212" s="11" t="s">
        <v>946</v>
      </c>
      <c r="I212" s="9" t="s">
        <v>27</v>
      </c>
      <c r="J212" s="11" t="s">
        <v>947</v>
      </c>
      <c r="K212" s="11" t="s">
        <v>50</v>
      </c>
      <c r="L212" s="23">
        <v>45909</v>
      </c>
      <c r="M212" s="9"/>
      <c r="N212" s="9" t="s">
        <v>30</v>
      </c>
      <c r="O212" s="11" t="s">
        <v>31</v>
      </c>
      <c r="P212" s="9" t="s">
        <v>402</v>
      </c>
      <c r="Q212" s="11"/>
    </row>
    <row r="213" spans="1:17" ht="82.5" x14ac:dyDescent="0.25">
      <c r="A213" s="13">
        <v>202</v>
      </c>
      <c r="B213" s="16" t="s">
        <v>948</v>
      </c>
      <c r="C213" s="9">
        <v>16</v>
      </c>
      <c r="D213" s="11" t="str">
        <f t="shared" ca="1" si="4"/>
        <v>16 বছর 7 মাস 22 দিন</v>
      </c>
      <c r="E213" s="11" t="s">
        <v>949</v>
      </c>
      <c r="F213" s="14">
        <v>30167</v>
      </c>
      <c r="G213" s="17">
        <v>45894</v>
      </c>
      <c r="H213" s="11" t="s">
        <v>950</v>
      </c>
      <c r="I213" s="11" t="s">
        <v>48</v>
      </c>
      <c r="J213" s="11" t="s">
        <v>951</v>
      </c>
      <c r="K213" s="11" t="s">
        <v>50</v>
      </c>
      <c r="L213" s="23">
        <v>45916</v>
      </c>
      <c r="M213" s="9"/>
      <c r="N213" s="9" t="s">
        <v>952</v>
      </c>
      <c r="O213" s="11" t="s">
        <v>31</v>
      </c>
      <c r="P213" s="9" t="s">
        <v>402</v>
      </c>
      <c r="Q213" s="11"/>
    </row>
    <row r="214" spans="1:17" s="18" customFormat="1" ht="82.5" x14ac:dyDescent="0.25">
      <c r="A214" s="13">
        <v>203</v>
      </c>
      <c r="B214" s="16" t="s">
        <v>953</v>
      </c>
      <c r="C214" s="9">
        <v>16</v>
      </c>
      <c r="D214" s="11" t="str">
        <f t="shared" ca="1" si="4"/>
        <v>16 বছর 7 মাস 22 দিন</v>
      </c>
      <c r="E214" s="11" t="s">
        <v>954</v>
      </c>
      <c r="F214" s="14">
        <v>30172</v>
      </c>
      <c r="G214" s="17">
        <v>45894</v>
      </c>
      <c r="H214" s="11" t="s">
        <v>955</v>
      </c>
      <c r="I214" s="22" t="s">
        <v>196</v>
      </c>
      <c r="J214" s="11" t="s">
        <v>956</v>
      </c>
      <c r="K214" s="11" t="s">
        <v>50</v>
      </c>
      <c r="L214" s="23">
        <v>46057</v>
      </c>
      <c r="M214" s="9"/>
      <c r="N214" s="9" t="s">
        <v>30</v>
      </c>
      <c r="O214" s="11" t="s">
        <v>31</v>
      </c>
      <c r="P214" s="9" t="s">
        <v>402</v>
      </c>
      <c r="Q214" s="11"/>
    </row>
    <row r="215" spans="1:17" ht="82.5" x14ac:dyDescent="0.25">
      <c r="A215" s="13">
        <v>204</v>
      </c>
      <c r="B215" s="16" t="s">
        <v>957</v>
      </c>
      <c r="C215" s="9">
        <v>17</v>
      </c>
      <c r="D215" s="11" t="str">
        <f t="shared" ca="1" si="4"/>
        <v>17 বছর 7 মাস 20 দিন</v>
      </c>
      <c r="E215" s="11" t="s">
        <v>958</v>
      </c>
      <c r="F215" s="14">
        <v>30193</v>
      </c>
      <c r="G215" s="17">
        <v>45896</v>
      </c>
      <c r="H215" s="11" t="s">
        <v>959</v>
      </c>
      <c r="I215" s="11" t="s">
        <v>48</v>
      </c>
      <c r="J215" s="11" t="s">
        <v>905</v>
      </c>
      <c r="K215" s="11" t="s">
        <v>50</v>
      </c>
      <c r="L215" s="23">
        <v>45942</v>
      </c>
      <c r="M215" s="9"/>
      <c r="N215" s="9" t="s">
        <v>30</v>
      </c>
      <c r="O215" s="11" t="s">
        <v>110</v>
      </c>
      <c r="P215" s="16" t="s">
        <v>158</v>
      </c>
      <c r="Q215" s="11" t="s">
        <v>960</v>
      </c>
    </row>
    <row r="216" spans="1:17" ht="82.5" x14ac:dyDescent="0.25">
      <c r="A216" s="13">
        <v>205</v>
      </c>
      <c r="B216" s="16" t="s">
        <v>961</v>
      </c>
      <c r="C216" s="9">
        <v>16</v>
      </c>
      <c r="D216" s="11" t="str">
        <f t="shared" ca="1" si="4"/>
        <v>16 বছর 7 মাস 17 দিন</v>
      </c>
      <c r="E216" s="11" t="s">
        <v>962</v>
      </c>
      <c r="F216" s="14">
        <v>30202</v>
      </c>
      <c r="G216" s="17">
        <v>45899</v>
      </c>
      <c r="H216" s="11" t="s">
        <v>963</v>
      </c>
      <c r="I216" s="11" t="s">
        <v>964</v>
      </c>
      <c r="J216" s="11" t="s">
        <v>965</v>
      </c>
      <c r="K216" s="11" t="s">
        <v>50</v>
      </c>
      <c r="L216" s="23"/>
      <c r="M216" s="9"/>
      <c r="N216" s="9" t="s">
        <v>966</v>
      </c>
      <c r="O216" s="11" t="s">
        <v>31</v>
      </c>
      <c r="P216" s="9" t="s">
        <v>402</v>
      </c>
      <c r="Q216" s="11"/>
    </row>
    <row r="217" spans="1:17" ht="82.5" x14ac:dyDescent="0.25">
      <c r="A217" s="13">
        <v>206</v>
      </c>
      <c r="B217" s="16" t="s">
        <v>967</v>
      </c>
      <c r="C217" s="9">
        <v>17</v>
      </c>
      <c r="D217" s="11" t="str">
        <f t="shared" ca="1" si="4"/>
        <v>17 বছর 7 মাস 17 দিন</v>
      </c>
      <c r="E217" s="11" t="s">
        <v>968</v>
      </c>
      <c r="F217" s="14">
        <v>30204</v>
      </c>
      <c r="G217" s="17">
        <v>45899</v>
      </c>
      <c r="H217" s="11" t="s">
        <v>969</v>
      </c>
      <c r="I217" s="11" t="s">
        <v>964</v>
      </c>
      <c r="J217" s="11" t="s">
        <v>965</v>
      </c>
      <c r="K217" s="11" t="s">
        <v>50</v>
      </c>
      <c r="L217" s="23"/>
      <c r="M217" s="9"/>
      <c r="N217" s="9" t="s">
        <v>966</v>
      </c>
      <c r="O217" s="11" t="s">
        <v>34</v>
      </c>
      <c r="P217" s="9" t="s">
        <v>402</v>
      </c>
      <c r="Q217" s="11"/>
    </row>
    <row r="218" spans="1:17" ht="82.5" x14ac:dyDescent="0.25">
      <c r="A218" s="13">
        <v>207</v>
      </c>
      <c r="B218" s="16" t="s">
        <v>970</v>
      </c>
      <c r="C218" s="9">
        <v>16</v>
      </c>
      <c r="D218" s="11" t="str">
        <f t="shared" ref="D218:D233" ca="1" si="5">C218+DATEDIF(G218,TODAY(),"y")&amp;" "&amp;"বছর"&amp;" "&amp;DATEDIF(G218,TODAY(),"ym")&amp;" "&amp;"মাস"&amp;" "&amp;DATEDIF(G218,TODAY(),"md")&amp;" "&amp;"দিন"</f>
        <v>16 বছর 7 মাস 17 দিন</v>
      </c>
      <c r="E218" s="11" t="s">
        <v>971</v>
      </c>
      <c r="F218" s="14">
        <v>30209</v>
      </c>
      <c r="G218" s="17">
        <v>45899</v>
      </c>
      <c r="H218" s="11" t="s">
        <v>972</v>
      </c>
      <c r="I218" s="9" t="s">
        <v>27</v>
      </c>
      <c r="J218" s="11" t="s">
        <v>857</v>
      </c>
      <c r="K218" s="11" t="s">
        <v>50</v>
      </c>
      <c r="L218" s="23">
        <v>45904</v>
      </c>
      <c r="M218" s="9"/>
      <c r="N218" s="9" t="s">
        <v>966</v>
      </c>
      <c r="O218" s="11" t="s">
        <v>31</v>
      </c>
      <c r="P218" s="9" t="s">
        <v>402</v>
      </c>
      <c r="Q218" s="11"/>
    </row>
    <row r="219" spans="1:17" ht="66" x14ac:dyDescent="0.25">
      <c r="A219" s="13">
        <v>208</v>
      </c>
      <c r="B219" s="16" t="s">
        <v>973</v>
      </c>
      <c r="C219" s="9">
        <v>15</v>
      </c>
      <c r="D219" s="11" t="str">
        <f t="shared" ca="1" si="5"/>
        <v>15 বছর 7 মাস 15 দিন</v>
      </c>
      <c r="E219" s="11" t="s">
        <v>974</v>
      </c>
      <c r="F219" s="14">
        <v>30232</v>
      </c>
      <c r="G219" s="17">
        <v>45901</v>
      </c>
      <c r="H219" s="11" t="s">
        <v>975</v>
      </c>
      <c r="I219" s="11" t="s">
        <v>265</v>
      </c>
      <c r="J219" s="11" t="s">
        <v>956</v>
      </c>
      <c r="K219" s="11" t="s">
        <v>50</v>
      </c>
      <c r="L219" s="23">
        <v>45944</v>
      </c>
      <c r="M219" s="11"/>
      <c r="N219" s="9" t="s">
        <v>30</v>
      </c>
      <c r="O219" s="11" t="s">
        <v>31</v>
      </c>
      <c r="P219" s="11" t="s">
        <v>888</v>
      </c>
      <c r="Q219" s="11"/>
    </row>
    <row r="220" spans="1:17" ht="82.5" x14ac:dyDescent="0.25">
      <c r="A220" s="13">
        <v>209</v>
      </c>
      <c r="B220" s="16" t="s">
        <v>976</v>
      </c>
      <c r="C220" s="9">
        <v>15</v>
      </c>
      <c r="D220" s="11" t="str">
        <f t="shared" ca="1" si="5"/>
        <v>15 বছর 7 মাস 15 দিন</v>
      </c>
      <c r="E220" s="11" t="s">
        <v>977</v>
      </c>
      <c r="F220" s="14">
        <v>30235</v>
      </c>
      <c r="G220" s="17">
        <v>45901</v>
      </c>
      <c r="H220" s="11" t="s">
        <v>978</v>
      </c>
      <c r="I220" s="11" t="s">
        <v>202</v>
      </c>
      <c r="J220" s="11" t="s">
        <v>882</v>
      </c>
      <c r="K220" s="11" t="s">
        <v>50</v>
      </c>
      <c r="L220" s="23"/>
      <c r="M220" s="11"/>
      <c r="N220" s="9" t="s">
        <v>30</v>
      </c>
      <c r="O220" s="11" t="s">
        <v>31</v>
      </c>
      <c r="P220" s="11" t="s">
        <v>888</v>
      </c>
      <c r="Q220" s="11"/>
    </row>
    <row r="221" spans="1:17" ht="66" x14ac:dyDescent="0.25">
      <c r="A221" s="13">
        <v>210</v>
      </c>
      <c r="B221" s="16" t="s">
        <v>979</v>
      </c>
      <c r="C221" s="9">
        <v>11</v>
      </c>
      <c r="D221" s="11" t="str">
        <f t="shared" ca="1" si="5"/>
        <v>11 বছর 7 মাস 15 দিন</v>
      </c>
      <c r="E221" s="11" t="s">
        <v>980</v>
      </c>
      <c r="F221" s="14">
        <v>30236</v>
      </c>
      <c r="G221" s="17">
        <v>45901</v>
      </c>
      <c r="H221" s="11" t="s">
        <v>981</v>
      </c>
      <c r="I221" s="9" t="s">
        <v>27</v>
      </c>
      <c r="J221" s="11" t="s">
        <v>882</v>
      </c>
      <c r="K221" s="11" t="s">
        <v>50</v>
      </c>
      <c r="L221" s="23"/>
      <c r="M221" s="11"/>
      <c r="N221" s="9" t="s">
        <v>30</v>
      </c>
      <c r="O221" s="11" t="s">
        <v>31</v>
      </c>
      <c r="P221" s="11" t="s">
        <v>888</v>
      </c>
      <c r="Q221" s="11"/>
    </row>
    <row r="222" spans="1:17" ht="66" x14ac:dyDescent="0.25">
      <c r="A222" s="13">
        <v>211</v>
      </c>
      <c r="B222" s="16" t="s">
        <v>982</v>
      </c>
      <c r="C222" s="9">
        <v>16</v>
      </c>
      <c r="D222" s="11" t="str">
        <f t="shared" ca="1" si="5"/>
        <v>16 বছর 7 মাস 15 দিন</v>
      </c>
      <c r="E222" s="11" t="s">
        <v>983</v>
      </c>
      <c r="F222" s="14">
        <v>30237</v>
      </c>
      <c r="G222" s="17">
        <v>45901</v>
      </c>
      <c r="H222" s="11" t="s">
        <v>984</v>
      </c>
      <c r="I222" s="11" t="s">
        <v>292</v>
      </c>
      <c r="J222" s="11" t="s">
        <v>985</v>
      </c>
      <c r="K222" s="11" t="s">
        <v>50</v>
      </c>
      <c r="L222" s="23">
        <v>45935</v>
      </c>
      <c r="M222" s="11"/>
      <c r="N222" s="9" t="s">
        <v>30</v>
      </c>
      <c r="O222" s="11" t="s">
        <v>31</v>
      </c>
      <c r="P222" s="11" t="s">
        <v>888</v>
      </c>
      <c r="Q222" s="11"/>
    </row>
    <row r="223" spans="1:17" ht="66" x14ac:dyDescent="0.25">
      <c r="A223" s="13">
        <v>212</v>
      </c>
      <c r="B223" s="16" t="s">
        <v>986</v>
      </c>
      <c r="C223" s="9"/>
      <c r="D223" s="11" t="str">
        <f t="shared" ca="1" si="5"/>
        <v>0 বছর 7 মাস 14 দিন</v>
      </c>
      <c r="E223" s="11" t="s">
        <v>987</v>
      </c>
      <c r="F223" s="14">
        <v>30248</v>
      </c>
      <c r="G223" s="17">
        <v>45902</v>
      </c>
      <c r="H223" s="11" t="s">
        <v>988</v>
      </c>
      <c r="I223" s="11" t="s">
        <v>265</v>
      </c>
      <c r="J223" s="11" t="s">
        <v>989</v>
      </c>
      <c r="K223" s="11" t="s">
        <v>50</v>
      </c>
      <c r="L223" s="23">
        <v>45951</v>
      </c>
      <c r="M223" s="11"/>
      <c r="N223" s="9" t="s">
        <v>30</v>
      </c>
      <c r="O223" s="11" t="s">
        <v>31</v>
      </c>
      <c r="P223" s="11" t="s">
        <v>888</v>
      </c>
      <c r="Q223" s="11"/>
    </row>
    <row r="224" spans="1:17" ht="66" x14ac:dyDescent="0.25">
      <c r="A224" s="13">
        <v>213</v>
      </c>
      <c r="B224" s="16" t="s">
        <v>990</v>
      </c>
      <c r="C224" s="9">
        <v>17</v>
      </c>
      <c r="D224" s="11" t="str">
        <f t="shared" ca="1" si="5"/>
        <v>17 বছর 7 মাস 14 দিন</v>
      </c>
      <c r="E224" s="11" t="s">
        <v>991</v>
      </c>
      <c r="F224" s="14">
        <v>30250</v>
      </c>
      <c r="G224" s="17">
        <v>45902</v>
      </c>
      <c r="H224" s="11" t="s">
        <v>992</v>
      </c>
      <c r="I224" s="9" t="s">
        <v>27</v>
      </c>
      <c r="J224" s="11" t="s">
        <v>993</v>
      </c>
      <c r="K224" s="11" t="s">
        <v>50</v>
      </c>
      <c r="L224" s="23">
        <v>45918</v>
      </c>
      <c r="M224" s="11"/>
      <c r="N224" s="9" t="s">
        <v>30</v>
      </c>
      <c r="O224" s="11" t="s">
        <v>51</v>
      </c>
      <c r="P224" s="11" t="s">
        <v>888</v>
      </c>
      <c r="Q224" s="11"/>
    </row>
    <row r="225" spans="1:17" s="18" customFormat="1" ht="66" x14ac:dyDescent="0.25">
      <c r="A225" s="13">
        <v>214</v>
      </c>
      <c r="B225" s="16" t="s">
        <v>994</v>
      </c>
      <c r="C225" s="9">
        <v>16</v>
      </c>
      <c r="D225" s="11" t="str">
        <f t="shared" ca="1" si="5"/>
        <v>16 বছর 7 মাস 14 দিন</v>
      </c>
      <c r="E225" s="11" t="s">
        <v>991</v>
      </c>
      <c r="F225" s="14">
        <v>30251</v>
      </c>
      <c r="G225" s="17">
        <v>45902</v>
      </c>
      <c r="H225" s="11" t="s">
        <v>992</v>
      </c>
      <c r="I225" s="9" t="s">
        <v>27</v>
      </c>
      <c r="J225" s="11" t="s">
        <v>993</v>
      </c>
      <c r="K225" s="11" t="s">
        <v>50</v>
      </c>
      <c r="L225" s="23">
        <v>45918</v>
      </c>
      <c r="M225" s="11"/>
      <c r="N225" s="9" t="s">
        <v>30</v>
      </c>
      <c r="O225" s="11" t="s">
        <v>31</v>
      </c>
      <c r="P225" s="11" t="s">
        <v>888</v>
      </c>
      <c r="Q225" s="11"/>
    </row>
    <row r="226" spans="1:17" ht="66" x14ac:dyDescent="0.25">
      <c r="A226" s="13">
        <v>215</v>
      </c>
      <c r="B226" s="16" t="s">
        <v>995</v>
      </c>
      <c r="C226" s="9">
        <v>16</v>
      </c>
      <c r="D226" s="11" t="str">
        <f t="shared" ca="1" si="5"/>
        <v>16 বছর 7 মাস 14 দিন</v>
      </c>
      <c r="E226" s="11" t="s">
        <v>996</v>
      </c>
      <c r="F226" s="14">
        <v>30252</v>
      </c>
      <c r="G226" s="17">
        <v>45902</v>
      </c>
      <c r="H226" s="11" t="s">
        <v>997</v>
      </c>
      <c r="I226" s="9" t="s">
        <v>27</v>
      </c>
      <c r="J226" s="11" t="s">
        <v>998</v>
      </c>
      <c r="K226" s="11" t="s">
        <v>50</v>
      </c>
      <c r="L226" s="23"/>
      <c r="M226" s="11"/>
      <c r="N226" s="9" t="s">
        <v>30</v>
      </c>
      <c r="O226" s="11" t="s">
        <v>31</v>
      </c>
      <c r="P226" s="11" t="s">
        <v>888</v>
      </c>
      <c r="Q226" s="11"/>
    </row>
    <row r="227" spans="1:17" s="18" customFormat="1" ht="66" x14ac:dyDescent="0.25">
      <c r="A227" s="13">
        <v>216</v>
      </c>
      <c r="B227" s="16" t="s">
        <v>999</v>
      </c>
      <c r="C227" s="9">
        <v>13</v>
      </c>
      <c r="D227" s="11" t="str">
        <f t="shared" ca="1" si="5"/>
        <v>13 বছর 7 মাস 12 দিন</v>
      </c>
      <c r="E227" s="11" t="s">
        <v>1000</v>
      </c>
      <c r="F227" s="14">
        <v>30261</v>
      </c>
      <c r="G227" s="17">
        <v>45904</v>
      </c>
      <c r="H227" s="11" t="s">
        <v>1001</v>
      </c>
      <c r="I227" s="11" t="s">
        <v>265</v>
      </c>
      <c r="J227" s="11" t="s">
        <v>1002</v>
      </c>
      <c r="K227" s="11" t="s">
        <v>50</v>
      </c>
      <c r="L227" s="23"/>
      <c r="M227" s="11"/>
      <c r="N227" s="9" t="s">
        <v>30</v>
      </c>
      <c r="O227" s="11" t="s">
        <v>31</v>
      </c>
      <c r="P227" s="11" t="s">
        <v>888</v>
      </c>
      <c r="Q227" s="11"/>
    </row>
    <row r="228" spans="1:17" ht="66" x14ac:dyDescent="0.25">
      <c r="A228" s="13">
        <v>217</v>
      </c>
      <c r="B228" s="16" t="s">
        <v>1003</v>
      </c>
      <c r="C228" s="9"/>
      <c r="D228" s="11" t="str">
        <f t="shared" ca="1" si="5"/>
        <v>0 বছর 7 মাস 11 দিন</v>
      </c>
      <c r="E228" s="11" t="s">
        <v>1004</v>
      </c>
      <c r="F228" s="14">
        <v>30275</v>
      </c>
      <c r="G228" s="17">
        <v>45905</v>
      </c>
      <c r="H228" s="11" t="s">
        <v>1005</v>
      </c>
      <c r="I228" s="9" t="s">
        <v>27</v>
      </c>
      <c r="J228" s="11" t="s">
        <v>943</v>
      </c>
      <c r="K228" s="11" t="s">
        <v>50</v>
      </c>
      <c r="L228" s="23">
        <v>45937</v>
      </c>
      <c r="M228" s="11"/>
      <c r="N228" s="9" t="s">
        <v>30</v>
      </c>
      <c r="O228" s="11" t="s">
        <v>31</v>
      </c>
      <c r="P228" s="11" t="s">
        <v>888</v>
      </c>
      <c r="Q228" s="11"/>
    </row>
    <row r="229" spans="1:17" ht="66" x14ac:dyDescent="0.25">
      <c r="A229" s="13">
        <v>218</v>
      </c>
      <c r="B229" s="16" t="s">
        <v>1006</v>
      </c>
      <c r="C229" s="9">
        <v>15</v>
      </c>
      <c r="D229" s="11" t="str">
        <f t="shared" ca="1" si="5"/>
        <v>15 বছর 7 মাস 11 দিন</v>
      </c>
      <c r="E229" s="11" t="s">
        <v>1007</v>
      </c>
      <c r="F229" s="14">
        <v>30279</v>
      </c>
      <c r="G229" s="17">
        <v>45905</v>
      </c>
      <c r="H229" s="11" t="s">
        <v>1008</v>
      </c>
      <c r="I229" s="11" t="s">
        <v>48</v>
      </c>
      <c r="J229" s="11" t="s">
        <v>1009</v>
      </c>
      <c r="K229" s="11" t="s">
        <v>50</v>
      </c>
      <c r="L229" s="23">
        <v>45903</v>
      </c>
      <c r="M229" s="11"/>
      <c r="N229" s="9" t="s">
        <v>30</v>
      </c>
      <c r="O229" s="11" t="s">
        <v>31</v>
      </c>
      <c r="P229" s="11" t="s">
        <v>888</v>
      </c>
      <c r="Q229" s="11"/>
    </row>
    <row r="230" spans="1:17" ht="66" x14ac:dyDescent="0.25">
      <c r="A230" s="13">
        <v>219</v>
      </c>
      <c r="B230" s="16" t="s">
        <v>1010</v>
      </c>
      <c r="C230" s="9"/>
      <c r="D230" s="11" t="str">
        <f t="shared" ca="1" si="5"/>
        <v>0 বছর 7 মাস 11 দিন</v>
      </c>
      <c r="E230" s="11" t="s">
        <v>1011</v>
      </c>
      <c r="F230" s="14">
        <v>30281</v>
      </c>
      <c r="G230" s="17">
        <v>45905</v>
      </c>
      <c r="H230" s="11" t="s">
        <v>1012</v>
      </c>
      <c r="I230" s="11" t="s">
        <v>48</v>
      </c>
      <c r="J230" s="11" t="s">
        <v>1013</v>
      </c>
      <c r="K230" s="11" t="s">
        <v>50</v>
      </c>
      <c r="L230" s="23">
        <v>45942</v>
      </c>
      <c r="M230" s="11"/>
      <c r="N230" s="9" t="s">
        <v>30</v>
      </c>
      <c r="O230" s="11" t="s">
        <v>31</v>
      </c>
      <c r="P230" s="11" t="s">
        <v>888</v>
      </c>
      <c r="Q230" s="11"/>
    </row>
    <row r="231" spans="1:17" ht="66" x14ac:dyDescent="0.25">
      <c r="A231" s="13">
        <v>220</v>
      </c>
      <c r="B231" s="16" t="s">
        <v>1014</v>
      </c>
      <c r="C231" s="9">
        <v>22</v>
      </c>
      <c r="D231" s="11" t="str">
        <f t="shared" ca="1" si="5"/>
        <v>22 বছর 7 মাস 11 দিন</v>
      </c>
      <c r="E231" s="11" t="s">
        <v>1015</v>
      </c>
      <c r="F231" s="14">
        <v>30283</v>
      </c>
      <c r="G231" s="17">
        <v>45905</v>
      </c>
      <c r="H231" s="11" t="s">
        <v>1016</v>
      </c>
      <c r="I231" s="9" t="s">
        <v>27</v>
      </c>
      <c r="J231" s="11" t="s">
        <v>1017</v>
      </c>
      <c r="K231" s="11" t="s">
        <v>50</v>
      </c>
      <c r="L231" s="23">
        <v>45902</v>
      </c>
      <c r="M231" s="11"/>
      <c r="N231" s="9" t="s">
        <v>30</v>
      </c>
      <c r="O231" s="11" t="s">
        <v>51</v>
      </c>
      <c r="P231" s="11" t="s">
        <v>888</v>
      </c>
      <c r="Q231" s="11"/>
    </row>
    <row r="232" spans="1:17" ht="66" x14ac:dyDescent="0.25">
      <c r="A232" s="13">
        <v>221</v>
      </c>
      <c r="B232" s="16" t="s">
        <v>1018</v>
      </c>
      <c r="C232" s="9">
        <v>15</v>
      </c>
      <c r="D232" s="11" t="str">
        <f t="shared" ca="1" si="5"/>
        <v>15 বছর 7 মাস 10 দিন</v>
      </c>
      <c r="E232" s="11" t="s">
        <v>1019</v>
      </c>
      <c r="F232" s="14">
        <v>30295</v>
      </c>
      <c r="G232" s="17">
        <v>45906</v>
      </c>
      <c r="H232" s="11" t="s">
        <v>1020</v>
      </c>
      <c r="I232" s="11" t="s">
        <v>265</v>
      </c>
      <c r="J232" s="11" t="s">
        <v>1017</v>
      </c>
      <c r="K232" s="11" t="s">
        <v>50</v>
      </c>
      <c r="L232" s="23">
        <v>45922</v>
      </c>
      <c r="M232" s="11"/>
      <c r="N232" s="9" t="s">
        <v>30</v>
      </c>
      <c r="O232" s="11" t="s">
        <v>31</v>
      </c>
      <c r="P232" s="11" t="s">
        <v>888</v>
      </c>
      <c r="Q232" s="11"/>
    </row>
    <row r="233" spans="1:17" s="18" customFormat="1" ht="66" x14ac:dyDescent="0.25">
      <c r="A233" s="13">
        <v>222</v>
      </c>
      <c r="B233" s="16" t="s">
        <v>1021</v>
      </c>
      <c r="C233" s="9">
        <v>17</v>
      </c>
      <c r="D233" s="11" t="str">
        <f t="shared" ca="1" si="5"/>
        <v>17 বছর 7 মাস 10 দিন</v>
      </c>
      <c r="E233" s="11" t="s">
        <v>1022</v>
      </c>
      <c r="F233" s="14">
        <v>30296</v>
      </c>
      <c r="G233" s="17">
        <v>45906</v>
      </c>
      <c r="H233" s="11" t="s">
        <v>1023</v>
      </c>
      <c r="I233" s="11" t="s">
        <v>265</v>
      </c>
      <c r="J233" s="11" t="s">
        <v>1024</v>
      </c>
      <c r="K233" s="11" t="s">
        <v>50</v>
      </c>
      <c r="L233" s="23"/>
      <c r="M233" s="11"/>
      <c r="N233" s="9" t="s">
        <v>30</v>
      </c>
      <c r="O233" s="11" t="s">
        <v>51</v>
      </c>
      <c r="P233" s="16" t="s">
        <v>158</v>
      </c>
      <c r="Q233" s="11" t="s">
        <v>1025</v>
      </c>
    </row>
    <row r="234" spans="1:17" ht="66" x14ac:dyDescent="0.25">
      <c r="A234" s="13">
        <v>223</v>
      </c>
      <c r="B234" s="16" t="s">
        <v>1026</v>
      </c>
      <c r="C234" s="9" t="s">
        <v>1027</v>
      </c>
      <c r="D234" s="9" t="s">
        <v>1027</v>
      </c>
      <c r="E234" s="11" t="s">
        <v>1028</v>
      </c>
      <c r="F234" s="14">
        <v>30307</v>
      </c>
      <c r="G234" s="17">
        <v>45906</v>
      </c>
      <c r="H234" s="11" t="s">
        <v>1029</v>
      </c>
      <c r="I234" s="11" t="s">
        <v>196</v>
      </c>
      <c r="J234" s="11" t="s">
        <v>1030</v>
      </c>
      <c r="K234" s="11" t="s">
        <v>50</v>
      </c>
      <c r="L234" s="23">
        <v>45915</v>
      </c>
      <c r="M234" s="11"/>
      <c r="N234" s="9" t="s">
        <v>30</v>
      </c>
      <c r="O234" s="11" t="s">
        <v>100</v>
      </c>
      <c r="P234" s="11" t="s">
        <v>888</v>
      </c>
      <c r="Q234" s="11"/>
    </row>
    <row r="235" spans="1:17" s="18" customFormat="1" ht="66" x14ac:dyDescent="0.25">
      <c r="A235" s="13">
        <v>224</v>
      </c>
      <c r="B235" s="16" t="s">
        <v>1031</v>
      </c>
      <c r="C235" s="9">
        <v>16</v>
      </c>
      <c r="D235" s="11" t="str">
        <f t="shared" ref="D235:D298" ca="1" si="6">C235+DATEDIF(G235,TODAY(),"y")&amp;" "&amp;"বছর"&amp;" "&amp;DATEDIF(G235,TODAY(),"ym")&amp;" "&amp;"মাস"&amp;" "&amp;DATEDIF(G235,TODAY(),"md")&amp;" "&amp;"দিন"</f>
        <v>16 বছর 7 মাস 9 দিন</v>
      </c>
      <c r="E235" s="11" t="s">
        <v>1032</v>
      </c>
      <c r="F235" s="14">
        <v>30309</v>
      </c>
      <c r="G235" s="17">
        <v>45907</v>
      </c>
      <c r="H235" s="11" t="s">
        <v>1033</v>
      </c>
      <c r="I235" s="11" t="s">
        <v>265</v>
      </c>
      <c r="J235" s="11" t="s">
        <v>1034</v>
      </c>
      <c r="K235" s="11" t="s">
        <v>50</v>
      </c>
      <c r="L235" s="23">
        <v>45958</v>
      </c>
      <c r="M235" s="11"/>
      <c r="N235" s="9" t="s">
        <v>30</v>
      </c>
      <c r="O235" s="11" t="s">
        <v>31</v>
      </c>
      <c r="P235" s="16" t="s">
        <v>158</v>
      </c>
      <c r="Q235" s="11" t="s">
        <v>1035</v>
      </c>
    </row>
    <row r="236" spans="1:17" ht="82.5" x14ac:dyDescent="0.25">
      <c r="A236" s="13">
        <v>225</v>
      </c>
      <c r="B236" s="16" t="s">
        <v>1036</v>
      </c>
      <c r="C236" s="9"/>
      <c r="D236" s="11" t="str">
        <f t="shared" ca="1" si="6"/>
        <v>0 বছর 7 মাস 8 দিন</v>
      </c>
      <c r="E236" s="11" t="s">
        <v>1037</v>
      </c>
      <c r="F236" s="14">
        <v>30320</v>
      </c>
      <c r="G236" s="17">
        <v>45908</v>
      </c>
      <c r="H236" s="11" t="s">
        <v>1038</v>
      </c>
      <c r="I236" s="9" t="s">
        <v>27</v>
      </c>
      <c r="J236" s="11" t="s">
        <v>1039</v>
      </c>
      <c r="K236" s="11" t="s">
        <v>50</v>
      </c>
      <c r="L236" s="23">
        <v>45944</v>
      </c>
      <c r="M236" s="11"/>
      <c r="N236" s="9" t="s">
        <v>30</v>
      </c>
      <c r="O236" s="11" t="s">
        <v>31</v>
      </c>
      <c r="P236" s="11" t="s">
        <v>888</v>
      </c>
      <c r="Q236" s="11"/>
    </row>
    <row r="237" spans="1:17" ht="66" x14ac:dyDescent="0.25">
      <c r="A237" s="13">
        <v>226</v>
      </c>
      <c r="B237" s="16" t="s">
        <v>1040</v>
      </c>
      <c r="C237" s="9">
        <v>14</v>
      </c>
      <c r="D237" s="11" t="str">
        <f t="shared" ca="1" si="6"/>
        <v>14 বছর 7 মাস 7 দিন</v>
      </c>
      <c r="E237" s="11" t="s">
        <v>1041</v>
      </c>
      <c r="F237" s="14">
        <v>30326</v>
      </c>
      <c r="G237" s="17">
        <v>45909</v>
      </c>
      <c r="H237" s="11" t="s">
        <v>1042</v>
      </c>
      <c r="I237" s="11" t="s">
        <v>265</v>
      </c>
      <c r="J237" s="11" t="s">
        <v>1043</v>
      </c>
      <c r="K237" s="11" t="s">
        <v>50</v>
      </c>
      <c r="L237" s="23">
        <v>45984</v>
      </c>
      <c r="M237" s="11"/>
      <c r="N237" s="9" t="s">
        <v>30</v>
      </c>
      <c r="O237" s="11" t="s">
        <v>31</v>
      </c>
      <c r="P237" s="16" t="s">
        <v>158</v>
      </c>
      <c r="Q237" s="11" t="s">
        <v>960</v>
      </c>
    </row>
    <row r="238" spans="1:17" s="18" customFormat="1" ht="73.5" customHeight="1" x14ac:dyDescent="0.25">
      <c r="A238" s="13">
        <v>227</v>
      </c>
      <c r="B238" s="16" t="s">
        <v>1044</v>
      </c>
      <c r="C238" s="9">
        <v>16</v>
      </c>
      <c r="D238" s="11" t="str">
        <f t="shared" ca="1" si="6"/>
        <v>16 বছর 7 মাস 6 দিন</v>
      </c>
      <c r="E238" s="11" t="s">
        <v>1045</v>
      </c>
      <c r="F238" s="14">
        <v>30331</v>
      </c>
      <c r="G238" s="17">
        <v>45910</v>
      </c>
      <c r="H238" s="11" t="s">
        <v>1046</v>
      </c>
      <c r="I238" s="11" t="s">
        <v>202</v>
      </c>
      <c r="J238" s="11" t="s">
        <v>1047</v>
      </c>
      <c r="K238" s="11" t="s">
        <v>50</v>
      </c>
      <c r="L238" s="23">
        <v>45939</v>
      </c>
      <c r="M238" s="11"/>
      <c r="N238" s="9" t="s">
        <v>30</v>
      </c>
      <c r="O238" s="11" t="s">
        <v>31</v>
      </c>
      <c r="P238" s="11" t="s">
        <v>888</v>
      </c>
      <c r="Q238" s="11"/>
    </row>
    <row r="239" spans="1:17" ht="66" x14ac:dyDescent="0.25">
      <c r="A239" s="13">
        <v>228</v>
      </c>
      <c r="B239" s="16" t="s">
        <v>1048</v>
      </c>
      <c r="C239" s="9">
        <v>15</v>
      </c>
      <c r="D239" s="11" t="str">
        <f t="shared" ca="1" si="6"/>
        <v>15 বছর 7 মাস 6 দিন</v>
      </c>
      <c r="E239" s="11" t="s">
        <v>1049</v>
      </c>
      <c r="F239" s="14">
        <v>30332</v>
      </c>
      <c r="G239" s="17">
        <v>45910</v>
      </c>
      <c r="H239" s="11" t="s">
        <v>1050</v>
      </c>
      <c r="I239" s="9" t="s">
        <v>27</v>
      </c>
      <c r="J239" s="11" t="s">
        <v>1051</v>
      </c>
      <c r="K239" s="11" t="s">
        <v>50</v>
      </c>
      <c r="L239" s="23">
        <v>45935</v>
      </c>
      <c r="M239" s="11"/>
      <c r="N239" s="9" t="s">
        <v>30</v>
      </c>
      <c r="O239" s="11" t="s">
        <v>31</v>
      </c>
      <c r="P239" s="11" t="s">
        <v>888</v>
      </c>
      <c r="Q239" s="11"/>
    </row>
    <row r="240" spans="1:17" ht="66" x14ac:dyDescent="0.25">
      <c r="A240" s="13">
        <v>229</v>
      </c>
      <c r="B240" s="16" t="s">
        <v>1052</v>
      </c>
      <c r="C240" s="9">
        <v>15</v>
      </c>
      <c r="D240" s="11" t="str">
        <f t="shared" ca="1" si="6"/>
        <v>15 বছর 7 মাস 5 দিন</v>
      </c>
      <c r="E240" s="11" t="s">
        <v>1053</v>
      </c>
      <c r="F240" s="14">
        <v>30339</v>
      </c>
      <c r="G240" s="17">
        <v>45911</v>
      </c>
      <c r="H240" s="11" t="s">
        <v>1054</v>
      </c>
      <c r="I240" s="11" t="s">
        <v>265</v>
      </c>
      <c r="J240" s="11" t="s">
        <v>1055</v>
      </c>
      <c r="K240" s="11" t="s">
        <v>50</v>
      </c>
      <c r="L240" s="23">
        <v>45910</v>
      </c>
      <c r="M240" s="11"/>
      <c r="N240" s="9" t="s">
        <v>30</v>
      </c>
      <c r="O240" s="11" t="s">
        <v>31</v>
      </c>
      <c r="P240" s="11" t="s">
        <v>888</v>
      </c>
      <c r="Q240" s="11"/>
    </row>
    <row r="241" spans="1:17" ht="66" x14ac:dyDescent="0.25">
      <c r="A241" s="13">
        <v>230</v>
      </c>
      <c r="B241" s="16" t="s">
        <v>1056</v>
      </c>
      <c r="C241" s="9">
        <v>19</v>
      </c>
      <c r="D241" s="11" t="str">
        <f t="shared" ca="1" si="6"/>
        <v>19 বছর 7 মাস 4 দিন</v>
      </c>
      <c r="E241" s="11" t="s">
        <v>1057</v>
      </c>
      <c r="F241" s="14">
        <v>30345</v>
      </c>
      <c r="G241" s="17">
        <v>45912</v>
      </c>
      <c r="H241" s="11" t="s">
        <v>1058</v>
      </c>
      <c r="I241" s="11" t="s">
        <v>843</v>
      </c>
      <c r="J241" s="11" t="s">
        <v>1059</v>
      </c>
      <c r="K241" s="11" t="s">
        <v>50</v>
      </c>
      <c r="L241" s="23">
        <v>45943</v>
      </c>
      <c r="M241" s="11"/>
      <c r="N241" s="9" t="s">
        <v>30</v>
      </c>
      <c r="O241" s="11" t="s">
        <v>110</v>
      </c>
      <c r="P241" s="11" t="s">
        <v>888</v>
      </c>
      <c r="Q241" s="11"/>
    </row>
    <row r="242" spans="1:17" ht="66" x14ac:dyDescent="0.25">
      <c r="A242" s="13">
        <v>231</v>
      </c>
      <c r="B242" s="16" t="s">
        <v>1060</v>
      </c>
      <c r="C242" s="9">
        <v>16</v>
      </c>
      <c r="D242" s="11" t="str">
        <f t="shared" ca="1" si="6"/>
        <v>16 বছর 7 মাস 3 দিন</v>
      </c>
      <c r="E242" s="11" t="s">
        <v>1061</v>
      </c>
      <c r="F242" s="14">
        <v>30351</v>
      </c>
      <c r="G242" s="17">
        <v>45913</v>
      </c>
      <c r="H242" s="11" t="s">
        <v>1062</v>
      </c>
      <c r="I242" s="11" t="s">
        <v>588</v>
      </c>
      <c r="J242" s="11" t="s">
        <v>1063</v>
      </c>
      <c r="K242" s="11" t="s">
        <v>50</v>
      </c>
      <c r="L242" s="23">
        <v>45979</v>
      </c>
      <c r="M242" s="11"/>
      <c r="N242" s="9" t="s">
        <v>30</v>
      </c>
      <c r="O242" s="11" t="s">
        <v>31</v>
      </c>
      <c r="P242" s="11" t="s">
        <v>888</v>
      </c>
      <c r="Q242" s="11"/>
    </row>
    <row r="243" spans="1:17" ht="66" x14ac:dyDescent="0.25">
      <c r="A243" s="13">
        <v>232</v>
      </c>
      <c r="B243" s="16" t="s">
        <v>1064</v>
      </c>
      <c r="C243" s="9">
        <v>15</v>
      </c>
      <c r="D243" s="11" t="str">
        <f t="shared" ca="1" si="6"/>
        <v>15 বছর 7 মাস 3 দিন</v>
      </c>
      <c r="E243" s="11" t="s">
        <v>1065</v>
      </c>
      <c r="F243" s="14">
        <v>30353</v>
      </c>
      <c r="G243" s="17">
        <v>45913</v>
      </c>
      <c r="H243" s="11" t="s">
        <v>1066</v>
      </c>
      <c r="I243" s="11" t="s">
        <v>265</v>
      </c>
      <c r="J243" s="11" t="s">
        <v>839</v>
      </c>
      <c r="K243" s="11" t="s">
        <v>50</v>
      </c>
      <c r="L243" s="23">
        <v>45929</v>
      </c>
      <c r="M243" s="11"/>
      <c r="N243" s="9" t="s">
        <v>30</v>
      </c>
      <c r="O243" s="11" t="s">
        <v>31</v>
      </c>
      <c r="P243" s="11" t="s">
        <v>888</v>
      </c>
      <c r="Q243" s="11"/>
    </row>
    <row r="244" spans="1:17" ht="66" x14ac:dyDescent="0.25">
      <c r="A244" s="13">
        <v>233</v>
      </c>
      <c r="B244" s="16" t="s">
        <v>1067</v>
      </c>
      <c r="C244" s="9">
        <v>15</v>
      </c>
      <c r="D244" s="11" t="str">
        <f t="shared" ca="1" si="6"/>
        <v>15 বছর 7 মাস 3 দিন</v>
      </c>
      <c r="E244" s="11" t="s">
        <v>1068</v>
      </c>
      <c r="F244" s="14">
        <v>30356</v>
      </c>
      <c r="G244" s="17">
        <v>45913</v>
      </c>
      <c r="H244" s="11" t="s">
        <v>1066</v>
      </c>
      <c r="I244" s="11" t="s">
        <v>265</v>
      </c>
      <c r="J244" s="11" t="s">
        <v>839</v>
      </c>
      <c r="K244" s="11" t="s">
        <v>50</v>
      </c>
      <c r="L244" s="23">
        <v>45929</v>
      </c>
      <c r="M244" s="11"/>
      <c r="N244" s="9" t="s">
        <v>30</v>
      </c>
      <c r="O244" s="11" t="s">
        <v>31</v>
      </c>
      <c r="P244" s="11" t="s">
        <v>888</v>
      </c>
      <c r="Q244" s="11"/>
    </row>
    <row r="245" spans="1:17" ht="66" x14ac:dyDescent="0.25">
      <c r="A245" s="13">
        <v>234</v>
      </c>
      <c r="B245" s="16" t="s">
        <v>1069</v>
      </c>
      <c r="C245" s="9">
        <v>17</v>
      </c>
      <c r="D245" s="11" t="str">
        <f t="shared" ca="1" si="6"/>
        <v>17 বছর 7 মাস 1 দিন</v>
      </c>
      <c r="E245" s="11" t="s">
        <v>1070</v>
      </c>
      <c r="F245" s="14">
        <v>30380</v>
      </c>
      <c r="G245" s="17">
        <v>45915</v>
      </c>
      <c r="H245" s="11" t="s">
        <v>1071</v>
      </c>
      <c r="I245" s="9" t="s">
        <v>27</v>
      </c>
      <c r="J245" s="11" t="s">
        <v>989</v>
      </c>
      <c r="K245" s="11" t="s">
        <v>50</v>
      </c>
      <c r="L245" s="23">
        <v>45957</v>
      </c>
      <c r="M245" s="11"/>
      <c r="N245" s="9" t="s">
        <v>30</v>
      </c>
      <c r="O245" s="11" t="s">
        <v>51</v>
      </c>
      <c r="P245" s="16" t="s">
        <v>158</v>
      </c>
      <c r="Q245" s="11" t="s">
        <v>782</v>
      </c>
    </row>
    <row r="246" spans="1:17" ht="82.5" x14ac:dyDescent="0.25">
      <c r="A246" s="13">
        <v>235</v>
      </c>
      <c r="B246" s="16" t="s">
        <v>1072</v>
      </c>
      <c r="C246" s="9"/>
      <c r="D246" s="11" t="str">
        <f t="shared" ca="1" si="6"/>
        <v>0 বছর 6 মাস 30 দিন</v>
      </c>
      <c r="E246" s="11" t="s">
        <v>1073</v>
      </c>
      <c r="F246" s="14">
        <v>30402</v>
      </c>
      <c r="G246" s="17">
        <v>45917</v>
      </c>
      <c r="H246" s="11" t="s">
        <v>1074</v>
      </c>
      <c r="I246" s="9" t="s">
        <v>27</v>
      </c>
      <c r="J246" s="11" t="s">
        <v>1075</v>
      </c>
      <c r="K246" s="11" t="s">
        <v>50</v>
      </c>
      <c r="L246" s="23">
        <v>45943</v>
      </c>
      <c r="M246" s="11"/>
      <c r="N246" s="9" t="s">
        <v>30</v>
      </c>
      <c r="O246" s="11" t="s">
        <v>31</v>
      </c>
      <c r="P246" s="11" t="s">
        <v>888</v>
      </c>
      <c r="Q246" s="11"/>
    </row>
    <row r="247" spans="1:17" ht="66" x14ac:dyDescent="0.25">
      <c r="A247" s="13">
        <v>236</v>
      </c>
      <c r="B247" s="16" t="s">
        <v>1076</v>
      </c>
      <c r="C247" s="9">
        <v>16</v>
      </c>
      <c r="D247" s="11" t="str">
        <f t="shared" ca="1" si="6"/>
        <v>16 বছর 6 মাস 30 দিন</v>
      </c>
      <c r="E247" s="11" t="s">
        <v>1077</v>
      </c>
      <c r="F247" s="14">
        <v>30403</v>
      </c>
      <c r="G247" s="17">
        <v>45917</v>
      </c>
      <c r="H247" s="11" t="s">
        <v>1078</v>
      </c>
      <c r="I247" s="11" t="s">
        <v>202</v>
      </c>
      <c r="J247" s="11" t="s">
        <v>882</v>
      </c>
      <c r="K247" s="11" t="s">
        <v>50</v>
      </c>
      <c r="L247" s="23">
        <v>45946</v>
      </c>
      <c r="M247" s="11"/>
      <c r="N247" s="9" t="s">
        <v>30</v>
      </c>
      <c r="O247" s="11" t="s">
        <v>31</v>
      </c>
      <c r="P247" s="11" t="s">
        <v>888</v>
      </c>
      <c r="Q247" s="11"/>
    </row>
    <row r="248" spans="1:17" ht="66" x14ac:dyDescent="0.25">
      <c r="A248" s="13">
        <v>237</v>
      </c>
      <c r="B248" s="16" t="s">
        <v>1079</v>
      </c>
      <c r="C248" s="9">
        <v>15</v>
      </c>
      <c r="D248" s="11" t="str">
        <f t="shared" ca="1" si="6"/>
        <v>15 বছর 6 মাস 30 দিন</v>
      </c>
      <c r="E248" s="11" t="s">
        <v>1080</v>
      </c>
      <c r="F248" s="14">
        <v>30405</v>
      </c>
      <c r="G248" s="17">
        <v>45917</v>
      </c>
      <c r="H248" s="11" t="s">
        <v>1081</v>
      </c>
      <c r="I248" s="9" t="s">
        <v>27</v>
      </c>
      <c r="J248" s="11" t="s">
        <v>1082</v>
      </c>
      <c r="K248" s="11" t="s">
        <v>50</v>
      </c>
      <c r="L248" s="23">
        <v>45935</v>
      </c>
      <c r="M248" s="11"/>
      <c r="N248" s="9" t="s">
        <v>30</v>
      </c>
      <c r="O248" s="11" t="s">
        <v>31</v>
      </c>
      <c r="P248" s="11" t="s">
        <v>888</v>
      </c>
      <c r="Q248" s="11"/>
    </row>
    <row r="249" spans="1:17" ht="66" x14ac:dyDescent="0.25">
      <c r="A249" s="13">
        <v>238</v>
      </c>
      <c r="B249" s="16" t="s">
        <v>1083</v>
      </c>
      <c r="C249" s="9">
        <v>17</v>
      </c>
      <c r="D249" s="11" t="str">
        <f t="shared" ca="1" si="6"/>
        <v>17 বছর 6 মাস 28 দিন</v>
      </c>
      <c r="E249" s="11" t="s">
        <v>1084</v>
      </c>
      <c r="F249" s="14">
        <v>30416</v>
      </c>
      <c r="G249" s="17">
        <v>45919</v>
      </c>
      <c r="H249" s="11" t="s">
        <v>1085</v>
      </c>
      <c r="I249" s="11" t="s">
        <v>843</v>
      </c>
      <c r="J249" s="11" t="s">
        <v>1086</v>
      </c>
      <c r="K249" s="11" t="s">
        <v>50</v>
      </c>
      <c r="L249" s="23">
        <v>45960</v>
      </c>
      <c r="M249" s="11"/>
      <c r="N249" s="9" t="s">
        <v>30</v>
      </c>
      <c r="O249" s="11" t="s">
        <v>100</v>
      </c>
      <c r="P249" s="11" t="s">
        <v>888</v>
      </c>
      <c r="Q249" s="11"/>
    </row>
    <row r="250" spans="1:17" ht="66" x14ac:dyDescent="0.25">
      <c r="A250" s="13">
        <v>239</v>
      </c>
      <c r="B250" s="16" t="s">
        <v>1087</v>
      </c>
      <c r="C250" s="9">
        <v>18</v>
      </c>
      <c r="D250" s="11" t="str">
        <f t="shared" ca="1" si="6"/>
        <v>18 বছর 6 মাস 28 দিন</v>
      </c>
      <c r="E250" s="11" t="s">
        <v>1084</v>
      </c>
      <c r="F250" s="14">
        <v>30418</v>
      </c>
      <c r="G250" s="17">
        <v>45919</v>
      </c>
      <c r="H250" s="11" t="s">
        <v>1085</v>
      </c>
      <c r="I250" s="11" t="s">
        <v>843</v>
      </c>
      <c r="J250" s="11" t="s">
        <v>1086</v>
      </c>
      <c r="K250" s="11" t="s">
        <v>50</v>
      </c>
      <c r="L250" s="23">
        <v>45960</v>
      </c>
      <c r="M250" s="11"/>
      <c r="N250" s="9" t="s">
        <v>30</v>
      </c>
      <c r="O250" s="11" t="s">
        <v>100</v>
      </c>
      <c r="P250" s="11" t="s">
        <v>888</v>
      </c>
      <c r="Q250" s="11"/>
    </row>
    <row r="251" spans="1:17" ht="66" x14ac:dyDescent="0.25">
      <c r="A251" s="13">
        <v>240</v>
      </c>
      <c r="B251" s="16" t="s">
        <v>1088</v>
      </c>
      <c r="C251" s="9">
        <v>14</v>
      </c>
      <c r="D251" s="11" t="str">
        <f t="shared" ca="1" si="6"/>
        <v>14 বছর 6 মাস 26 দিন</v>
      </c>
      <c r="E251" s="11" t="s">
        <v>1089</v>
      </c>
      <c r="F251" s="14">
        <v>30440</v>
      </c>
      <c r="G251" s="17">
        <v>45921</v>
      </c>
      <c r="H251" s="11" t="s">
        <v>1090</v>
      </c>
      <c r="I251" s="11" t="s">
        <v>265</v>
      </c>
      <c r="J251" s="11" t="s">
        <v>1091</v>
      </c>
      <c r="K251" s="11" t="s">
        <v>50</v>
      </c>
      <c r="L251" s="23">
        <v>45935</v>
      </c>
      <c r="M251" s="11"/>
      <c r="N251" s="9" t="s">
        <v>30</v>
      </c>
      <c r="O251" s="11" t="s">
        <v>31</v>
      </c>
      <c r="P251" s="16" t="s">
        <v>158</v>
      </c>
      <c r="Q251" s="11" t="s">
        <v>159</v>
      </c>
    </row>
    <row r="252" spans="1:17" ht="66" x14ac:dyDescent="0.25">
      <c r="A252" s="13">
        <v>241</v>
      </c>
      <c r="B252" s="16" t="s">
        <v>1092</v>
      </c>
      <c r="C252" s="9">
        <v>16</v>
      </c>
      <c r="D252" s="11" t="str">
        <f t="shared" ca="1" si="6"/>
        <v>16 বছর 6 মাস 25 দিন</v>
      </c>
      <c r="E252" s="11" t="s">
        <v>1093</v>
      </c>
      <c r="F252" s="14">
        <v>30445</v>
      </c>
      <c r="G252" s="17">
        <v>45922</v>
      </c>
      <c r="H252" s="11" t="s">
        <v>1094</v>
      </c>
      <c r="I252" s="9" t="s">
        <v>27</v>
      </c>
      <c r="J252" s="11" t="s">
        <v>1002</v>
      </c>
      <c r="K252" s="11" t="s">
        <v>50</v>
      </c>
      <c r="L252" s="23">
        <v>45952</v>
      </c>
      <c r="M252" s="11"/>
      <c r="N252" s="9" t="s">
        <v>30</v>
      </c>
      <c r="O252" s="11" t="s">
        <v>31</v>
      </c>
      <c r="P252" s="11" t="s">
        <v>888</v>
      </c>
      <c r="Q252" s="11"/>
    </row>
    <row r="253" spans="1:17" ht="66" x14ac:dyDescent="0.25">
      <c r="A253" s="13">
        <v>242</v>
      </c>
      <c r="B253" s="16" t="s">
        <v>1095</v>
      </c>
      <c r="C253" s="9">
        <v>17</v>
      </c>
      <c r="D253" s="11" t="str">
        <f t="shared" ca="1" si="6"/>
        <v>17 বছর 6 মাস 24 দিন</v>
      </c>
      <c r="E253" s="11" t="s">
        <v>1096</v>
      </c>
      <c r="F253" s="14">
        <v>30460</v>
      </c>
      <c r="G253" s="17">
        <v>45923</v>
      </c>
      <c r="H253" s="11" t="s">
        <v>1097</v>
      </c>
      <c r="I253" s="11" t="s">
        <v>202</v>
      </c>
      <c r="J253" s="11" t="s">
        <v>1043</v>
      </c>
      <c r="K253" s="11" t="s">
        <v>50</v>
      </c>
      <c r="L253" s="23">
        <v>45958</v>
      </c>
      <c r="M253" s="11"/>
      <c r="N253" s="9" t="s">
        <v>30</v>
      </c>
      <c r="O253" s="11" t="s">
        <v>34</v>
      </c>
      <c r="P253" s="16" t="s">
        <v>158</v>
      </c>
      <c r="Q253" s="11" t="s">
        <v>782</v>
      </c>
    </row>
    <row r="254" spans="1:17" ht="66" x14ac:dyDescent="0.25">
      <c r="A254" s="13">
        <v>243</v>
      </c>
      <c r="B254" s="16" t="s">
        <v>1098</v>
      </c>
      <c r="C254" s="9">
        <v>11</v>
      </c>
      <c r="D254" s="11" t="str">
        <f t="shared" ca="1" si="6"/>
        <v>11 বছর 6 মাস 24 দিন</v>
      </c>
      <c r="E254" s="11" t="s">
        <v>1099</v>
      </c>
      <c r="F254" s="14">
        <v>30461</v>
      </c>
      <c r="G254" s="17">
        <v>45923</v>
      </c>
      <c r="H254" s="11" t="s">
        <v>1100</v>
      </c>
      <c r="I254" s="11" t="s">
        <v>202</v>
      </c>
      <c r="J254" s="11" t="s">
        <v>1043</v>
      </c>
      <c r="K254" s="11" t="s">
        <v>50</v>
      </c>
      <c r="L254" s="23">
        <v>45958</v>
      </c>
      <c r="M254" s="11"/>
      <c r="N254" s="9" t="s">
        <v>30</v>
      </c>
      <c r="O254" s="11" t="s">
        <v>31</v>
      </c>
      <c r="P254" s="11" t="s">
        <v>888</v>
      </c>
      <c r="Q254" s="11"/>
    </row>
    <row r="255" spans="1:17" ht="66" x14ac:dyDescent="0.25">
      <c r="A255" s="13">
        <v>244</v>
      </c>
      <c r="B255" s="16" t="s">
        <v>1101</v>
      </c>
      <c r="C255" s="9"/>
      <c r="D255" s="11" t="str">
        <f t="shared" ca="1" si="6"/>
        <v>0 বছর 6 মাস 24 দিন</v>
      </c>
      <c r="E255" s="11" t="s">
        <v>1102</v>
      </c>
      <c r="F255" s="14">
        <v>30462</v>
      </c>
      <c r="G255" s="17">
        <v>45923</v>
      </c>
      <c r="H255" s="11" t="s">
        <v>1100</v>
      </c>
      <c r="I255" s="11" t="s">
        <v>202</v>
      </c>
      <c r="J255" s="11" t="s">
        <v>1043</v>
      </c>
      <c r="K255" s="11" t="s">
        <v>50</v>
      </c>
      <c r="L255" s="23">
        <v>45958</v>
      </c>
      <c r="M255" s="11"/>
      <c r="N255" s="9" t="s">
        <v>30</v>
      </c>
      <c r="O255" s="11" t="s">
        <v>31</v>
      </c>
      <c r="P255" s="11" t="s">
        <v>888</v>
      </c>
      <c r="Q255" s="11"/>
    </row>
    <row r="256" spans="1:17" ht="66" x14ac:dyDescent="0.25">
      <c r="A256" s="13">
        <v>245</v>
      </c>
      <c r="B256" s="16" t="s">
        <v>1103</v>
      </c>
      <c r="C256" s="9">
        <v>20</v>
      </c>
      <c r="D256" s="11" t="str">
        <f t="shared" ca="1" si="6"/>
        <v>20 বছর 6 মাস 24 দিন</v>
      </c>
      <c r="E256" s="11" t="s">
        <v>1104</v>
      </c>
      <c r="F256" s="14">
        <v>30463</v>
      </c>
      <c r="G256" s="17">
        <v>45923</v>
      </c>
      <c r="H256" s="11" t="s">
        <v>1105</v>
      </c>
      <c r="I256" s="9" t="s">
        <v>27</v>
      </c>
      <c r="J256" s="11" t="s">
        <v>1106</v>
      </c>
      <c r="K256" s="11" t="s">
        <v>50</v>
      </c>
      <c r="L256" s="23">
        <v>45939</v>
      </c>
      <c r="M256" s="11"/>
      <c r="N256" s="9" t="s">
        <v>30</v>
      </c>
      <c r="O256" s="11" t="s">
        <v>100</v>
      </c>
      <c r="P256" s="11" t="s">
        <v>888</v>
      </c>
      <c r="Q256" s="11"/>
    </row>
    <row r="257" spans="1:17" ht="66" x14ac:dyDescent="0.25">
      <c r="A257" s="13">
        <v>246</v>
      </c>
      <c r="B257" s="16" t="s">
        <v>1107</v>
      </c>
      <c r="C257" s="9">
        <v>19</v>
      </c>
      <c r="D257" s="11" t="str">
        <f t="shared" ca="1" si="6"/>
        <v>19 বছর 6 মাস 24 দিন</v>
      </c>
      <c r="E257" s="11" t="s">
        <v>1104</v>
      </c>
      <c r="F257" s="14">
        <v>30464</v>
      </c>
      <c r="G257" s="17">
        <v>45923</v>
      </c>
      <c r="H257" s="11" t="s">
        <v>1105</v>
      </c>
      <c r="I257" s="9" t="s">
        <v>27</v>
      </c>
      <c r="J257" s="11" t="s">
        <v>1106</v>
      </c>
      <c r="K257" s="11" t="s">
        <v>50</v>
      </c>
      <c r="L257" s="23">
        <v>45939</v>
      </c>
      <c r="M257" s="11"/>
      <c r="N257" s="9" t="s">
        <v>30</v>
      </c>
      <c r="O257" s="11" t="s">
        <v>100</v>
      </c>
      <c r="P257" s="11" t="s">
        <v>888</v>
      </c>
      <c r="Q257" s="11"/>
    </row>
    <row r="258" spans="1:17" ht="66" x14ac:dyDescent="0.25">
      <c r="A258" s="13">
        <v>247</v>
      </c>
      <c r="B258" s="16" t="s">
        <v>1108</v>
      </c>
      <c r="C258" s="9">
        <v>17</v>
      </c>
      <c r="D258" s="11" t="str">
        <f t="shared" ca="1" si="6"/>
        <v>17 বছর 6 মাস 23 দিন</v>
      </c>
      <c r="E258" s="11" t="s">
        <v>1109</v>
      </c>
      <c r="F258" s="14">
        <v>30467</v>
      </c>
      <c r="G258" s="17">
        <v>45924</v>
      </c>
      <c r="H258" s="11" t="s">
        <v>1110</v>
      </c>
      <c r="I258" s="11" t="s">
        <v>48</v>
      </c>
      <c r="J258" s="11" t="s">
        <v>381</v>
      </c>
      <c r="K258" s="11" t="s">
        <v>50</v>
      </c>
      <c r="L258" s="23">
        <v>45935</v>
      </c>
      <c r="M258" s="11"/>
      <c r="N258" s="9" t="s">
        <v>30</v>
      </c>
      <c r="O258" s="11" t="s">
        <v>51</v>
      </c>
      <c r="P258" s="16" t="s">
        <v>158</v>
      </c>
      <c r="Q258" s="11" t="s">
        <v>169</v>
      </c>
    </row>
    <row r="259" spans="1:17" ht="66" x14ac:dyDescent="0.25">
      <c r="A259" s="13">
        <v>248</v>
      </c>
      <c r="B259" s="16" t="s">
        <v>1111</v>
      </c>
      <c r="C259" s="9">
        <v>14</v>
      </c>
      <c r="D259" s="11" t="str">
        <f t="shared" ca="1" si="6"/>
        <v>14 বছর 6 মাস 22 দিন</v>
      </c>
      <c r="E259" s="11" t="s">
        <v>1112</v>
      </c>
      <c r="F259" s="14">
        <v>30474</v>
      </c>
      <c r="G259" s="17">
        <v>45925</v>
      </c>
      <c r="H259" s="11" t="s">
        <v>1113</v>
      </c>
      <c r="I259" s="11" t="s">
        <v>27</v>
      </c>
      <c r="J259" s="11" t="s">
        <v>1114</v>
      </c>
      <c r="K259" s="11" t="s">
        <v>50</v>
      </c>
      <c r="L259" s="23" t="s">
        <v>1115</v>
      </c>
      <c r="M259" s="11"/>
      <c r="N259" s="9" t="s">
        <v>929</v>
      </c>
      <c r="O259" s="11" t="s">
        <v>31</v>
      </c>
      <c r="P259" s="11" t="s">
        <v>32</v>
      </c>
      <c r="Q259" s="11"/>
    </row>
    <row r="260" spans="1:17" ht="66" x14ac:dyDescent="0.25">
      <c r="A260" s="13">
        <v>249</v>
      </c>
      <c r="B260" s="16" t="s">
        <v>1116</v>
      </c>
      <c r="C260" s="9">
        <v>16</v>
      </c>
      <c r="D260" s="11" t="str">
        <f t="shared" ca="1" si="6"/>
        <v>16 বছর 6 মাস 21 দিন</v>
      </c>
      <c r="E260" s="11" t="s">
        <v>1117</v>
      </c>
      <c r="F260" s="14">
        <v>30493</v>
      </c>
      <c r="G260" s="17">
        <v>45926</v>
      </c>
      <c r="H260" s="11" t="s">
        <v>1118</v>
      </c>
      <c r="I260" s="11" t="s">
        <v>843</v>
      </c>
      <c r="J260" s="11" t="s">
        <v>1119</v>
      </c>
      <c r="K260" s="11" t="s">
        <v>50</v>
      </c>
      <c r="L260" s="23">
        <v>45957</v>
      </c>
      <c r="M260" s="11"/>
      <c r="N260" s="9" t="s">
        <v>929</v>
      </c>
      <c r="O260" s="11" t="s">
        <v>31</v>
      </c>
      <c r="P260" s="9" t="s">
        <v>101</v>
      </c>
      <c r="Q260" s="11"/>
    </row>
    <row r="261" spans="1:17" ht="66" x14ac:dyDescent="0.25">
      <c r="A261" s="13">
        <v>250</v>
      </c>
      <c r="B261" s="16" t="s">
        <v>1120</v>
      </c>
      <c r="C261" s="9"/>
      <c r="D261" s="11" t="str">
        <f t="shared" ca="1" si="6"/>
        <v>0 বছর 6 মাস 21 দিন</v>
      </c>
      <c r="E261" s="11" t="s">
        <v>1121</v>
      </c>
      <c r="F261" s="14">
        <v>30502</v>
      </c>
      <c r="G261" s="17">
        <v>45926</v>
      </c>
      <c r="H261" s="11" t="s">
        <v>1122</v>
      </c>
      <c r="I261" s="11" t="s">
        <v>196</v>
      </c>
      <c r="J261" s="11" t="s">
        <v>1123</v>
      </c>
      <c r="K261" s="11" t="s">
        <v>50</v>
      </c>
      <c r="L261" s="23">
        <v>45952</v>
      </c>
      <c r="M261" s="11"/>
      <c r="N261" s="9" t="s">
        <v>929</v>
      </c>
      <c r="O261" s="11" t="s">
        <v>31</v>
      </c>
      <c r="P261" s="9" t="s">
        <v>120</v>
      </c>
      <c r="Q261" s="11"/>
    </row>
    <row r="262" spans="1:17" ht="66" x14ac:dyDescent="0.25">
      <c r="A262" s="13">
        <v>251</v>
      </c>
      <c r="B262" s="16" t="s">
        <v>1124</v>
      </c>
      <c r="C262" s="9">
        <v>14</v>
      </c>
      <c r="D262" s="11" t="str">
        <f t="shared" ca="1" si="6"/>
        <v>14 বছর 6 মাস 21 দিন</v>
      </c>
      <c r="E262" s="11" t="s">
        <v>1125</v>
      </c>
      <c r="F262" s="14">
        <v>30506</v>
      </c>
      <c r="G262" s="17">
        <v>45926</v>
      </c>
      <c r="H262" s="11" t="s">
        <v>1126</v>
      </c>
      <c r="I262" s="11" t="s">
        <v>48</v>
      </c>
      <c r="J262" s="11" t="s">
        <v>1043</v>
      </c>
      <c r="K262" s="11" t="s">
        <v>50</v>
      </c>
      <c r="L262" s="23"/>
      <c r="M262" s="11"/>
      <c r="N262" s="9" t="s">
        <v>929</v>
      </c>
      <c r="O262" s="11" t="s">
        <v>31</v>
      </c>
      <c r="P262" s="9" t="s">
        <v>1127</v>
      </c>
      <c r="Q262" s="11"/>
    </row>
    <row r="263" spans="1:17" ht="66" x14ac:dyDescent="0.25">
      <c r="A263" s="13">
        <v>252</v>
      </c>
      <c r="B263" s="16" t="s">
        <v>1128</v>
      </c>
      <c r="C263" s="9">
        <v>17</v>
      </c>
      <c r="D263" s="11" t="str">
        <f t="shared" ca="1" si="6"/>
        <v>17 বছর 6 মাস 18 দিন</v>
      </c>
      <c r="E263" s="11" t="s">
        <v>1129</v>
      </c>
      <c r="F263" s="14">
        <v>30525</v>
      </c>
      <c r="G263" s="17">
        <v>45929</v>
      </c>
      <c r="H263" s="11" t="s">
        <v>1130</v>
      </c>
      <c r="I263" s="11" t="s">
        <v>38</v>
      </c>
      <c r="J263" s="11" t="s">
        <v>1039</v>
      </c>
      <c r="K263" s="11" t="s">
        <v>50</v>
      </c>
      <c r="L263" s="23"/>
      <c r="M263" s="11"/>
      <c r="N263" s="9" t="s">
        <v>929</v>
      </c>
      <c r="O263" s="11" t="s">
        <v>110</v>
      </c>
      <c r="P263" s="9" t="s">
        <v>52</v>
      </c>
      <c r="Q263" s="11"/>
    </row>
    <row r="264" spans="1:17" ht="66" x14ac:dyDescent="0.25">
      <c r="A264" s="13">
        <v>253</v>
      </c>
      <c r="B264" s="16" t="s">
        <v>1131</v>
      </c>
      <c r="C264" s="9">
        <v>15</v>
      </c>
      <c r="D264" s="11" t="str">
        <f t="shared" ca="1" si="6"/>
        <v>15 বছর 6 মাস 18 দিন</v>
      </c>
      <c r="E264" s="11" t="s">
        <v>1132</v>
      </c>
      <c r="F264" s="14">
        <v>30528</v>
      </c>
      <c r="G264" s="17">
        <v>45929</v>
      </c>
      <c r="H264" s="11" t="s">
        <v>1133</v>
      </c>
      <c r="I264" s="11" t="s">
        <v>27</v>
      </c>
      <c r="J264" s="11" t="s">
        <v>1134</v>
      </c>
      <c r="K264" s="11" t="s">
        <v>50</v>
      </c>
      <c r="L264" s="23">
        <v>45937</v>
      </c>
      <c r="M264" s="11"/>
      <c r="N264" s="9" t="s">
        <v>929</v>
      </c>
      <c r="O264" s="11" t="s">
        <v>31</v>
      </c>
      <c r="P264" s="16" t="s">
        <v>158</v>
      </c>
      <c r="Q264" s="11" t="s">
        <v>1135</v>
      </c>
    </row>
    <row r="265" spans="1:17" ht="66" x14ac:dyDescent="0.25">
      <c r="A265" s="13">
        <v>254</v>
      </c>
      <c r="B265" s="16" t="s">
        <v>1136</v>
      </c>
      <c r="C265" s="9">
        <v>16</v>
      </c>
      <c r="D265" s="11" t="str">
        <f t="shared" ca="1" si="6"/>
        <v>16 বছর 6 মাস 17 দিন</v>
      </c>
      <c r="E265" s="11" t="s">
        <v>1137</v>
      </c>
      <c r="F265" s="14">
        <v>30529</v>
      </c>
      <c r="G265" s="17">
        <v>45930</v>
      </c>
      <c r="H265" s="11" t="s">
        <v>1138</v>
      </c>
      <c r="I265" s="11" t="s">
        <v>48</v>
      </c>
      <c r="J265" s="11" t="s">
        <v>381</v>
      </c>
      <c r="K265" s="11" t="s">
        <v>50</v>
      </c>
      <c r="L265" s="23">
        <v>45971</v>
      </c>
      <c r="M265" s="11"/>
      <c r="N265" s="9" t="s">
        <v>929</v>
      </c>
      <c r="O265" s="11" t="s">
        <v>31</v>
      </c>
      <c r="P265" s="9" t="s">
        <v>147</v>
      </c>
      <c r="Q265" s="11"/>
    </row>
    <row r="266" spans="1:17" ht="66" x14ac:dyDescent="0.25">
      <c r="A266" s="13">
        <v>255</v>
      </c>
      <c r="B266" s="16" t="s">
        <v>1139</v>
      </c>
      <c r="C266" s="9">
        <v>17</v>
      </c>
      <c r="D266" s="11" t="str">
        <f t="shared" ca="1" si="6"/>
        <v>17 বছর 6 মাস 15 দিন</v>
      </c>
      <c r="E266" s="11" t="s">
        <v>1140</v>
      </c>
      <c r="F266" s="14">
        <v>30544</v>
      </c>
      <c r="G266" s="17">
        <v>45931</v>
      </c>
      <c r="H266" s="11" t="s">
        <v>1141</v>
      </c>
      <c r="I266" s="11" t="s">
        <v>202</v>
      </c>
      <c r="J266" s="11" t="s">
        <v>1142</v>
      </c>
      <c r="K266" s="11" t="s">
        <v>50</v>
      </c>
      <c r="L266" s="23">
        <v>45939</v>
      </c>
      <c r="M266" s="11"/>
      <c r="N266" s="9" t="s">
        <v>30</v>
      </c>
      <c r="O266" s="11" t="s">
        <v>110</v>
      </c>
      <c r="P266" s="9" t="s">
        <v>186</v>
      </c>
      <c r="Q266" s="11"/>
    </row>
    <row r="267" spans="1:17" ht="66" x14ac:dyDescent="0.25">
      <c r="A267" s="13">
        <v>256</v>
      </c>
      <c r="B267" s="16" t="s">
        <v>1143</v>
      </c>
      <c r="C267" s="9">
        <v>16</v>
      </c>
      <c r="D267" s="11" t="str">
        <f t="shared" ca="1" si="6"/>
        <v>16 বছর 6 মাস 14 দিন</v>
      </c>
      <c r="E267" s="11" t="s">
        <v>1144</v>
      </c>
      <c r="F267" s="14">
        <v>30547</v>
      </c>
      <c r="G267" s="17">
        <v>45932</v>
      </c>
      <c r="H267" s="11" t="s">
        <v>1145</v>
      </c>
      <c r="I267" s="11" t="s">
        <v>38</v>
      </c>
      <c r="J267" s="11" t="s">
        <v>998</v>
      </c>
      <c r="K267" s="11" t="s">
        <v>50</v>
      </c>
      <c r="L267" s="23">
        <v>45975</v>
      </c>
      <c r="M267" s="11"/>
      <c r="N267" s="9" t="s">
        <v>30</v>
      </c>
      <c r="O267" s="11" t="s">
        <v>31</v>
      </c>
      <c r="P267" s="9" t="s">
        <v>192</v>
      </c>
      <c r="Q267" s="11"/>
    </row>
    <row r="268" spans="1:17" ht="66" x14ac:dyDescent="0.25">
      <c r="A268" s="13">
        <v>257</v>
      </c>
      <c r="B268" s="16" t="s">
        <v>1146</v>
      </c>
      <c r="C268" s="9"/>
      <c r="D268" s="11" t="str">
        <f t="shared" ca="1" si="6"/>
        <v>0 বছর 6 মাস 13 দিন</v>
      </c>
      <c r="E268" s="11" t="s">
        <v>1147</v>
      </c>
      <c r="F268" s="14">
        <v>30553</v>
      </c>
      <c r="G268" s="17">
        <v>45933</v>
      </c>
      <c r="H268" s="11" t="s">
        <v>1148</v>
      </c>
      <c r="I268" s="11" t="s">
        <v>964</v>
      </c>
      <c r="J268" s="11" t="s">
        <v>1149</v>
      </c>
      <c r="K268" s="11" t="s">
        <v>50</v>
      </c>
      <c r="L268" s="23"/>
      <c r="M268" s="11"/>
      <c r="N268" s="9" t="s">
        <v>30</v>
      </c>
      <c r="O268" s="11" t="s">
        <v>31</v>
      </c>
      <c r="P268" s="9" t="s">
        <v>204</v>
      </c>
      <c r="Q268" s="11"/>
    </row>
    <row r="269" spans="1:17" ht="66" x14ac:dyDescent="0.25">
      <c r="A269" s="13">
        <v>258</v>
      </c>
      <c r="B269" s="16" t="s">
        <v>1150</v>
      </c>
      <c r="C269" s="9">
        <v>12</v>
      </c>
      <c r="D269" s="11" t="str">
        <f t="shared" ca="1" si="6"/>
        <v>12 বছর 6 মাস 10 দিন</v>
      </c>
      <c r="E269" s="11" t="s">
        <v>1151</v>
      </c>
      <c r="F269" s="14">
        <v>30577</v>
      </c>
      <c r="G269" s="17">
        <v>45936</v>
      </c>
      <c r="H269" s="11" t="s">
        <v>1152</v>
      </c>
      <c r="I269" s="11" t="s">
        <v>27</v>
      </c>
      <c r="J269" s="11" t="s">
        <v>1153</v>
      </c>
      <c r="K269" s="11" t="s">
        <v>50</v>
      </c>
      <c r="L269" s="23">
        <v>45945</v>
      </c>
      <c r="M269" s="11"/>
      <c r="N269" s="9" t="s">
        <v>30</v>
      </c>
      <c r="O269" s="11" t="s">
        <v>31</v>
      </c>
      <c r="P269" s="11" t="s">
        <v>174</v>
      </c>
      <c r="Q269" s="11"/>
    </row>
    <row r="270" spans="1:17" ht="66" x14ac:dyDescent="0.25">
      <c r="A270" s="13">
        <v>259</v>
      </c>
      <c r="B270" s="16" t="s">
        <v>1154</v>
      </c>
      <c r="C270" s="9">
        <v>16</v>
      </c>
      <c r="D270" s="11" t="str">
        <f t="shared" ca="1" si="6"/>
        <v>16 বছর 6 মাস 10 দিন</v>
      </c>
      <c r="E270" s="11" t="s">
        <v>1155</v>
      </c>
      <c r="F270" s="14">
        <v>30578</v>
      </c>
      <c r="G270" s="17">
        <v>45936</v>
      </c>
      <c r="H270" s="11" t="s">
        <v>1156</v>
      </c>
      <c r="I270" s="11" t="s">
        <v>202</v>
      </c>
      <c r="J270" s="11" t="s">
        <v>1153</v>
      </c>
      <c r="K270" s="11" t="s">
        <v>50</v>
      </c>
      <c r="L270" s="23">
        <v>45945</v>
      </c>
      <c r="M270" s="11"/>
      <c r="N270" s="9" t="s">
        <v>30</v>
      </c>
      <c r="O270" s="11" t="s">
        <v>31</v>
      </c>
      <c r="P270" s="9" t="s">
        <v>217</v>
      </c>
      <c r="Q270" s="11"/>
    </row>
    <row r="271" spans="1:17" ht="66" x14ac:dyDescent="0.25">
      <c r="A271" s="13">
        <v>260</v>
      </c>
      <c r="B271" s="16" t="s">
        <v>1157</v>
      </c>
      <c r="C271" s="9">
        <v>17</v>
      </c>
      <c r="D271" s="11" t="str">
        <f t="shared" ca="1" si="6"/>
        <v>17 বছর 6 মাস 10 দিন</v>
      </c>
      <c r="E271" s="11" t="s">
        <v>1158</v>
      </c>
      <c r="F271" s="14">
        <v>30579</v>
      </c>
      <c r="G271" s="17">
        <v>45936</v>
      </c>
      <c r="H271" s="11" t="s">
        <v>1156</v>
      </c>
      <c r="I271" s="11" t="s">
        <v>202</v>
      </c>
      <c r="J271" s="11" t="s">
        <v>1153</v>
      </c>
      <c r="K271" s="11" t="s">
        <v>50</v>
      </c>
      <c r="L271" s="23">
        <v>45945</v>
      </c>
      <c r="M271" s="11"/>
      <c r="N271" s="9" t="s">
        <v>30</v>
      </c>
      <c r="O271" s="11" t="s">
        <v>100</v>
      </c>
      <c r="P271" s="9" t="s">
        <v>223</v>
      </c>
      <c r="Q271" s="11"/>
    </row>
    <row r="272" spans="1:17" ht="66" x14ac:dyDescent="0.25">
      <c r="A272" s="13">
        <v>261</v>
      </c>
      <c r="B272" s="16" t="s">
        <v>1159</v>
      </c>
      <c r="C272" s="9">
        <v>14</v>
      </c>
      <c r="D272" s="11" t="str">
        <f t="shared" ca="1" si="6"/>
        <v>14 বছর 6 মাস 10 দিন</v>
      </c>
      <c r="E272" s="11" t="s">
        <v>1160</v>
      </c>
      <c r="F272" s="14">
        <v>30583</v>
      </c>
      <c r="G272" s="17">
        <v>45936</v>
      </c>
      <c r="H272" s="11" t="s">
        <v>1161</v>
      </c>
      <c r="I272" s="11" t="s">
        <v>202</v>
      </c>
      <c r="J272" s="11" t="s">
        <v>1075</v>
      </c>
      <c r="K272" s="11" t="s">
        <v>50</v>
      </c>
      <c r="L272" s="23">
        <v>45950</v>
      </c>
      <c r="M272" s="11"/>
      <c r="N272" s="9" t="s">
        <v>30</v>
      </c>
      <c r="O272" s="11" t="s">
        <v>31</v>
      </c>
      <c r="P272" s="9" t="s">
        <v>186</v>
      </c>
      <c r="Q272" s="11"/>
    </row>
    <row r="273" spans="1:17" ht="66" x14ac:dyDescent="0.25">
      <c r="A273" s="13">
        <v>262</v>
      </c>
      <c r="B273" s="16" t="s">
        <v>1162</v>
      </c>
      <c r="C273" s="9">
        <v>17</v>
      </c>
      <c r="D273" s="11" t="str">
        <f t="shared" ca="1" si="6"/>
        <v>17 বছর 6 মাস 10 দিন</v>
      </c>
      <c r="E273" s="11" t="s">
        <v>1163</v>
      </c>
      <c r="F273" s="14">
        <v>30584</v>
      </c>
      <c r="G273" s="17">
        <v>45936</v>
      </c>
      <c r="H273" s="11" t="s">
        <v>1164</v>
      </c>
      <c r="I273" s="11" t="s">
        <v>265</v>
      </c>
      <c r="J273" s="11" t="s">
        <v>1075</v>
      </c>
      <c r="K273" s="11" t="s">
        <v>50</v>
      </c>
      <c r="L273" s="23">
        <v>45972</v>
      </c>
      <c r="M273" s="11"/>
      <c r="N273" s="9" t="s">
        <v>30</v>
      </c>
      <c r="O273" s="11" t="s">
        <v>100</v>
      </c>
      <c r="P273" s="9" t="s">
        <v>101</v>
      </c>
      <c r="Q273" s="11"/>
    </row>
    <row r="274" spans="1:17" ht="66" x14ac:dyDescent="0.25">
      <c r="A274" s="13">
        <v>263</v>
      </c>
      <c r="B274" s="16" t="s">
        <v>1165</v>
      </c>
      <c r="C274" s="9">
        <v>15</v>
      </c>
      <c r="D274" s="11" t="str">
        <f t="shared" ca="1" si="6"/>
        <v>15 বছর 6 মাস 9 দিন</v>
      </c>
      <c r="E274" s="11" t="s">
        <v>1166</v>
      </c>
      <c r="F274" s="14">
        <v>30586</v>
      </c>
      <c r="G274" s="17">
        <v>45937</v>
      </c>
      <c r="H274" s="11" t="s">
        <v>1167</v>
      </c>
      <c r="I274" s="11" t="s">
        <v>27</v>
      </c>
      <c r="J274" s="11" t="s">
        <v>1168</v>
      </c>
      <c r="K274" s="11" t="s">
        <v>50</v>
      </c>
      <c r="L274" s="23">
        <v>45966</v>
      </c>
      <c r="M274" s="11"/>
      <c r="N274" s="9" t="s">
        <v>30</v>
      </c>
      <c r="O274" s="11" t="s">
        <v>31</v>
      </c>
      <c r="P274" s="9" t="s">
        <v>240</v>
      </c>
      <c r="Q274" s="11"/>
    </row>
    <row r="275" spans="1:17" ht="66" x14ac:dyDescent="0.25">
      <c r="A275" s="13">
        <v>264</v>
      </c>
      <c r="B275" s="16" t="s">
        <v>1169</v>
      </c>
      <c r="C275" s="9">
        <v>16</v>
      </c>
      <c r="D275" s="11" t="str">
        <f t="shared" ca="1" si="6"/>
        <v>16 বছর 6 মাস 9 দিন</v>
      </c>
      <c r="E275" s="11" t="s">
        <v>1170</v>
      </c>
      <c r="F275" s="14">
        <v>30587</v>
      </c>
      <c r="G275" s="17">
        <v>45937</v>
      </c>
      <c r="H275" s="11" t="s">
        <v>1167</v>
      </c>
      <c r="I275" s="11" t="s">
        <v>27</v>
      </c>
      <c r="J275" s="11" t="s">
        <v>1168</v>
      </c>
      <c r="K275" s="11" t="s">
        <v>50</v>
      </c>
      <c r="L275" s="23">
        <v>45966</v>
      </c>
      <c r="M275" s="11"/>
      <c r="N275" s="9" t="s">
        <v>30</v>
      </c>
      <c r="O275" s="11" t="s">
        <v>31</v>
      </c>
      <c r="P275" s="9" t="s">
        <v>246</v>
      </c>
      <c r="Q275" s="11"/>
    </row>
    <row r="276" spans="1:17" ht="66" x14ac:dyDescent="0.25">
      <c r="A276" s="13">
        <v>265</v>
      </c>
      <c r="B276" s="16" t="s">
        <v>1171</v>
      </c>
      <c r="C276" s="9">
        <v>17</v>
      </c>
      <c r="D276" s="11" t="str">
        <f t="shared" ca="1" si="6"/>
        <v>17 বছর 6 মাস 9 দিন</v>
      </c>
      <c r="E276" s="11" t="s">
        <v>1170</v>
      </c>
      <c r="F276" s="14">
        <v>30588</v>
      </c>
      <c r="G276" s="17">
        <v>45937</v>
      </c>
      <c r="H276" s="11" t="s">
        <v>1167</v>
      </c>
      <c r="I276" s="11" t="s">
        <v>27</v>
      </c>
      <c r="J276" s="11" t="s">
        <v>1168</v>
      </c>
      <c r="K276" s="11" t="s">
        <v>50</v>
      </c>
      <c r="L276" s="23">
        <v>45966</v>
      </c>
      <c r="M276" s="11"/>
      <c r="N276" s="9" t="s">
        <v>30</v>
      </c>
      <c r="O276" s="11" t="s">
        <v>100</v>
      </c>
      <c r="P276" s="9" t="s">
        <v>252</v>
      </c>
      <c r="Q276" s="11"/>
    </row>
    <row r="277" spans="1:17" ht="66" x14ac:dyDescent="0.25">
      <c r="A277" s="13">
        <v>266</v>
      </c>
      <c r="B277" s="16" t="s">
        <v>1172</v>
      </c>
      <c r="C277" s="9">
        <v>14</v>
      </c>
      <c r="D277" s="11" t="str">
        <f t="shared" ca="1" si="6"/>
        <v>14 বছর 6 মাস 8 দিন</v>
      </c>
      <c r="E277" s="11" t="s">
        <v>1173</v>
      </c>
      <c r="F277" s="14">
        <v>30593</v>
      </c>
      <c r="G277" s="17">
        <v>45938</v>
      </c>
      <c r="H277" s="11" t="s">
        <v>1174</v>
      </c>
      <c r="I277" s="11" t="s">
        <v>27</v>
      </c>
      <c r="J277" s="11" t="s">
        <v>1175</v>
      </c>
      <c r="K277" s="11" t="s">
        <v>50</v>
      </c>
      <c r="L277" s="23"/>
      <c r="M277" s="11"/>
      <c r="N277" s="9" t="s">
        <v>30</v>
      </c>
      <c r="O277" s="11" t="s">
        <v>31</v>
      </c>
      <c r="P277" s="16" t="s">
        <v>158</v>
      </c>
      <c r="Q277" s="11" t="s">
        <v>960</v>
      </c>
    </row>
    <row r="278" spans="1:17" ht="82.5" x14ac:dyDescent="0.25">
      <c r="A278" s="13">
        <v>267</v>
      </c>
      <c r="B278" s="16" t="s">
        <v>1176</v>
      </c>
      <c r="C278" s="9">
        <v>14</v>
      </c>
      <c r="D278" s="11" t="str">
        <f t="shared" ca="1" si="6"/>
        <v>14 বছর 6 মাস 8 দিন</v>
      </c>
      <c r="E278" s="11" t="s">
        <v>1177</v>
      </c>
      <c r="F278" s="14">
        <v>30599</v>
      </c>
      <c r="G278" s="17">
        <v>45938</v>
      </c>
      <c r="H278" s="11" t="s">
        <v>1178</v>
      </c>
      <c r="I278" s="11" t="s">
        <v>265</v>
      </c>
      <c r="J278" s="11" t="s">
        <v>1179</v>
      </c>
      <c r="K278" s="11" t="s">
        <v>50</v>
      </c>
      <c r="L278" s="23">
        <v>45957</v>
      </c>
      <c r="M278" s="11"/>
      <c r="N278" s="9" t="s">
        <v>30</v>
      </c>
      <c r="O278" s="11" t="s">
        <v>31</v>
      </c>
      <c r="P278" s="9" t="s">
        <v>52</v>
      </c>
      <c r="Q278" s="11"/>
    </row>
    <row r="279" spans="1:17" ht="66" x14ac:dyDescent="0.25">
      <c r="A279" s="13">
        <v>268</v>
      </c>
      <c r="B279" s="16" t="s">
        <v>1180</v>
      </c>
      <c r="C279" s="9"/>
      <c r="D279" s="11" t="str">
        <f t="shared" ca="1" si="6"/>
        <v>0 বছর 6 মাস 8 দিন</v>
      </c>
      <c r="E279" s="11" t="s">
        <v>1181</v>
      </c>
      <c r="F279" s="14">
        <v>30600</v>
      </c>
      <c r="G279" s="17">
        <v>45938</v>
      </c>
      <c r="H279" s="11" t="s">
        <v>1182</v>
      </c>
      <c r="I279" s="11" t="s">
        <v>202</v>
      </c>
      <c r="J279" s="11" t="s">
        <v>1183</v>
      </c>
      <c r="K279" s="11" t="s">
        <v>50</v>
      </c>
      <c r="L279" s="23">
        <v>45963</v>
      </c>
      <c r="M279" s="11"/>
      <c r="N279" s="9" t="s">
        <v>30</v>
      </c>
      <c r="O279" s="11" t="s">
        <v>31</v>
      </c>
      <c r="P279" s="16" t="s">
        <v>158</v>
      </c>
      <c r="Q279" s="11" t="s">
        <v>283</v>
      </c>
    </row>
    <row r="280" spans="1:17" ht="66" x14ac:dyDescent="0.25">
      <c r="A280" s="13">
        <v>269</v>
      </c>
      <c r="B280" s="16" t="s">
        <v>1184</v>
      </c>
      <c r="C280" s="9">
        <v>17</v>
      </c>
      <c r="D280" s="11" t="str">
        <f t="shared" ca="1" si="6"/>
        <v>17 বছর 6 মাস 7 দিন</v>
      </c>
      <c r="E280" s="11" t="s">
        <v>1185</v>
      </c>
      <c r="F280" s="14">
        <v>30606</v>
      </c>
      <c r="G280" s="17">
        <v>45939</v>
      </c>
      <c r="H280" s="11" t="s">
        <v>1186</v>
      </c>
      <c r="I280" s="11" t="s">
        <v>27</v>
      </c>
      <c r="J280" s="11" t="s">
        <v>1187</v>
      </c>
      <c r="K280" s="11" t="s">
        <v>50</v>
      </c>
      <c r="L280" s="23"/>
      <c r="M280" s="11"/>
      <c r="N280" s="9" t="s">
        <v>30</v>
      </c>
      <c r="O280" s="11" t="s">
        <v>34</v>
      </c>
      <c r="P280" s="9" t="s">
        <v>88</v>
      </c>
      <c r="Q280" s="11"/>
    </row>
    <row r="281" spans="1:17" ht="66" x14ac:dyDescent="0.25">
      <c r="A281" s="13">
        <v>270</v>
      </c>
      <c r="B281" s="16" t="s">
        <v>1188</v>
      </c>
      <c r="C281" s="9">
        <v>16</v>
      </c>
      <c r="D281" s="11" t="str">
        <f t="shared" ca="1" si="6"/>
        <v>16 বছর 6 মাস 7 দিন</v>
      </c>
      <c r="E281" s="11" t="s">
        <v>1189</v>
      </c>
      <c r="F281" s="14">
        <v>30607</v>
      </c>
      <c r="G281" s="17">
        <v>45939</v>
      </c>
      <c r="H281" s="11" t="s">
        <v>1190</v>
      </c>
      <c r="I281" s="11" t="s">
        <v>48</v>
      </c>
      <c r="J281" s="11" t="s">
        <v>1187</v>
      </c>
      <c r="K281" s="11" t="s">
        <v>50</v>
      </c>
      <c r="L281" s="23">
        <v>45986</v>
      </c>
      <c r="M281" s="11"/>
      <c r="N281" s="9" t="s">
        <v>30</v>
      </c>
      <c r="O281" s="11" t="s">
        <v>31</v>
      </c>
      <c r="P281" s="11" t="s">
        <v>174</v>
      </c>
      <c r="Q281" s="11"/>
    </row>
    <row r="282" spans="1:17" ht="66" x14ac:dyDescent="0.25">
      <c r="A282" s="13">
        <v>271</v>
      </c>
      <c r="B282" s="16" t="s">
        <v>1191</v>
      </c>
      <c r="C282" s="9">
        <v>18</v>
      </c>
      <c r="D282" s="11" t="str">
        <f t="shared" ca="1" si="6"/>
        <v>18 বছর 6 মাস 7 দিন</v>
      </c>
      <c r="E282" s="11" t="s">
        <v>1192</v>
      </c>
      <c r="F282" s="14">
        <v>30608</v>
      </c>
      <c r="G282" s="17">
        <v>45939</v>
      </c>
      <c r="H282" s="11" t="s">
        <v>1190</v>
      </c>
      <c r="I282" s="11" t="s">
        <v>48</v>
      </c>
      <c r="J282" s="11" t="s">
        <v>1187</v>
      </c>
      <c r="K282" s="11" t="s">
        <v>50</v>
      </c>
      <c r="L282" s="23">
        <v>45986</v>
      </c>
      <c r="M282" s="11"/>
      <c r="N282" s="9" t="s">
        <v>30</v>
      </c>
      <c r="O282" s="11" t="s">
        <v>110</v>
      </c>
      <c r="P282" s="9" t="s">
        <v>204</v>
      </c>
      <c r="Q282" s="11"/>
    </row>
    <row r="283" spans="1:17" ht="66" x14ac:dyDescent="0.25">
      <c r="A283" s="13">
        <v>272</v>
      </c>
      <c r="B283" s="16" t="s">
        <v>1193</v>
      </c>
      <c r="C283" s="9">
        <v>15</v>
      </c>
      <c r="D283" s="11" t="str">
        <f t="shared" ca="1" si="6"/>
        <v>15 বছর 6 মাস 7 দিন</v>
      </c>
      <c r="E283" s="11" t="s">
        <v>1194</v>
      </c>
      <c r="F283" s="14">
        <v>30611</v>
      </c>
      <c r="G283" s="17">
        <v>45939</v>
      </c>
      <c r="H283" s="11" t="s">
        <v>1195</v>
      </c>
      <c r="I283" s="11" t="s">
        <v>265</v>
      </c>
      <c r="J283" s="11" t="s">
        <v>1196</v>
      </c>
      <c r="K283" s="11" t="s">
        <v>50</v>
      </c>
      <c r="L283" s="23">
        <v>45970</v>
      </c>
      <c r="M283" s="11"/>
      <c r="N283" s="9" t="s">
        <v>30</v>
      </c>
      <c r="O283" s="11" t="s">
        <v>31</v>
      </c>
      <c r="P283" s="11" t="s">
        <v>294</v>
      </c>
      <c r="Q283" s="11"/>
    </row>
    <row r="284" spans="1:17" ht="82.5" x14ac:dyDescent="0.25">
      <c r="A284" s="13">
        <v>273</v>
      </c>
      <c r="B284" s="16" t="s">
        <v>1197</v>
      </c>
      <c r="C284" s="9">
        <v>17</v>
      </c>
      <c r="D284" s="11" t="str">
        <f t="shared" ca="1" si="6"/>
        <v>17 বছর 6 মাস 7 দিন</v>
      </c>
      <c r="E284" s="11" t="s">
        <v>1198</v>
      </c>
      <c r="F284" s="14">
        <v>30617</v>
      </c>
      <c r="G284" s="17">
        <v>45939</v>
      </c>
      <c r="H284" s="11" t="s">
        <v>1199</v>
      </c>
      <c r="I284" s="11" t="s">
        <v>27</v>
      </c>
      <c r="J284" s="11" t="s">
        <v>1200</v>
      </c>
      <c r="K284" s="11" t="s">
        <v>50</v>
      </c>
      <c r="L284" s="23">
        <v>45957</v>
      </c>
      <c r="M284" s="11"/>
      <c r="N284" s="9" t="s">
        <v>30</v>
      </c>
      <c r="O284" s="11" t="s">
        <v>100</v>
      </c>
      <c r="P284" s="11" t="s">
        <v>1201</v>
      </c>
      <c r="Q284" s="11"/>
    </row>
    <row r="285" spans="1:17" ht="66" x14ac:dyDescent="0.25">
      <c r="A285" s="13">
        <v>274</v>
      </c>
      <c r="B285" s="16" t="s">
        <v>1202</v>
      </c>
      <c r="C285" s="9">
        <v>17</v>
      </c>
      <c r="D285" s="11" t="str">
        <f t="shared" ca="1" si="6"/>
        <v>17 বছর 6 মাস 7 দিন</v>
      </c>
      <c r="E285" s="11" t="s">
        <v>1203</v>
      </c>
      <c r="F285" s="14">
        <v>30621</v>
      </c>
      <c r="G285" s="17">
        <v>45939</v>
      </c>
      <c r="H285" s="11" t="s">
        <v>1204</v>
      </c>
      <c r="I285" s="11" t="s">
        <v>588</v>
      </c>
      <c r="J285" s="11" t="s">
        <v>1205</v>
      </c>
      <c r="K285" s="11" t="s">
        <v>50</v>
      </c>
      <c r="L285" s="23">
        <v>45967</v>
      </c>
      <c r="M285" s="11"/>
      <c r="N285" s="9" t="s">
        <v>30</v>
      </c>
      <c r="O285" s="11" t="s">
        <v>100</v>
      </c>
      <c r="P285" s="9" t="s">
        <v>101</v>
      </c>
      <c r="Q285" s="11"/>
    </row>
    <row r="286" spans="1:17" ht="66" x14ac:dyDescent="0.25">
      <c r="A286" s="13">
        <v>275</v>
      </c>
      <c r="B286" s="16" t="s">
        <v>1206</v>
      </c>
      <c r="C286" s="9">
        <v>15</v>
      </c>
      <c r="D286" s="11" t="str">
        <f t="shared" ca="1" si="6"/>
        <v>15 বছর 6 মাস 7 দিন</v>
      </c>
      <c r="E286" s="11" t="s">
        <v>1207</v>
      </c>
      <c r="F286" s="14">
        <v>30624</v>
      </c>
      <c r="G286" s="17">
        <v>45939</v>
      </c>
      <c r="H286" s="11" t="s">
        <v>1208</v>
      </c>
      <c r="I286" s="11" t="s">
        <v>38</v>
      </c>
      <c r="J286" s="11" t="s">
        <v>1209</v>
      </c>
      <c r="K286" s="11" t="s">
        <v>50</v>
      </c>
      <c r="L286" s="23">
        <v>45956</v>
      </c>
      <c r="M286" s="11"/>
      <c r="N286" s="9" t="s">
        <v>30</v>
      </c>
      <c r="O286" s="11" t="s">
        <v>31</v>
      </c>
      <c r="P286" s="9" t="s">
        <v>309</v>
      </c>
      <c r="Q286" s="11"/>
    </row>
    <row r="287" spans="1:17" ht="66" x14ac:dyDescent="0.25">
      <c r="A287" s="13">
        <v>276</v>
      </c>
      <c r="B287" s="16" t="s">
        <v>1210</v>
      </c>
      <c r="C287" s="9">
        <v>18</v>
      </c>
      <c r="D287" s="11" t="str">
        <f t="shared" ca="1" si="6"/>
        <v>18 বছর 6 মাস 7 দিন</v>
      </c>
      <c r="E287" s="11" t="s">
        <v>1211</v>
      </c>
      <c r="F287" s="14">
        <v>30630</v>
      </c>
      <c r="G287" s="17">
        <v>45939</v>
      </c>
      <c r="H287" s="11" t="s">
        <v>1212</v>
      </c>
      <c r="I287" s="11" t="s">
        <v>27</v>
      </c>
      <c r="J287" s="11" t="s">
        <v>1213</v>
      </c>
      <c r="K287" s="11" t="s">
        <v>50</v>
      </c>
      <c r="L287" s="23">
        <v>45946</v>
      </c>
      <c r="M287" s="11"/>
      <c r="N287" s="9" t="s">
        <v>30</v>
      </c>
      <c r="O287" s="11" t="s">
        <v>34</v>
      </c>
      <c r="P287" s="16" t="s">
        <v>158</v>
      </c>
      <c r="Q287" s="11" t="s">
        <v>1025</v>
      </c>
    </row>
    <row r="288" spans="1:17" ht="66" x14ac:dyDescent="0.25">
      <c r="A288" s="13">
        <v>277</v>
      </c>
      <c r="B288" s="16" t="s">
        <v>1214</v>
      </c>
      <c r="C288" s="9">
        <v>16</v>
      </c>
      <c r="D288" s="11" t="str">
        <f t="shared" ca="1" si="6"/>
        <v>16 বছর 6 মাস 6 দিন</v>
      </c>
      <c r="E288" s="11" t="s">
        <v>1215</v>
      </c>
      <c r="F288" s="14">
        <v>30641</v>
      </c>
      <c r="G288" s="17">
        <v>45940</v>
      </c>
      <c r="H288" s="11" t="s">
        <v>1216</v>
      </c>
      <c r="I288" s="11" t="s">
        <v>432</v>
      </c>
      <c r="J288" s="11" t="s">
        <v>839</v>
      </c>
      <c r="K288" s="11" t="s">
        <v>50</v>
      </c>
      <c r="L288" s="23">
        <v>45952</v>
      </c>
      <c r="M288" s="11"/>
      <c r="N288" s="9" t="s">
        <v>30</v>
      </c>
      <c r="O288" s="11" t="s">
        <v>31</v>
      </c>
      <c r="P288" s="9" t="s">
        <v>1217</v>
      </c>
      <c r="Q288" s="11"/>
    </row>
    <row r="289" spans="1:17" ht="66" x14ac:dyDescent="0.25">
      <c r="A289" s="13">
        <v>278</v>
      </c>
      <c r="B289" s="16" t="s">
        <v>1218</v>
      </c>
      <c r="C289" s="9">
        <v>16</v>
      </c>
      <c r="D289" s="11" t="str">
        <f t="shared" ca="1" si="6"/>
        <v>16 বছর 6 মাস 6 দিন</v>
      </c>
      <c r="E289" s="11" t="s">
        <v>1219</v>
      </c>
      <c r="F289" s="14">
        <v>30642</v>
      </c>
      <c r="G289" s="17">
        <v>45940</v>
      </c>
      <c r="H289" s="11" t="s">
        <v>1220</v>
      </c>
      <c r="I289" s="11" t="s">
        <v>265</v>
      </c>
      <c r="J289" s="11" t="s">
        <v>1221</v>
      </c>
      <c r="K289" s="11" t="s">
        <v>50</v>
      </c>
      <c r="L289" s="23">
        <v>45987</v>
      </c>
      <c r="M289" s="11"/>
      <c r="N289" s="9" t="s">
        <v>30</v>
      </c>
      <c r="O289" s="11" t="s">
        <v>31</v>
      </c>
      <c r="P289" s="9" t="s">
        <v>94</v>
      </c>
      <c r="Q289" s="11"/>
    </row>
    <row r="290" spans="1:17" ht="66" x14ac:dyDescent="0.25">
      <c r="A290" s="13">
        <v>279</v>
      </c>
      <c r="B290" s="16" t="s">
        <v>1222</v>
      </c>
      <c r="C290" s="9">
        <v>15</v>
      </c>
      <c r="D290" s="11" t="str">
        <f t="shared" ca="1" si="6"/>
        <v>15 বছর 6 মাস 6 দিন</v>
      </c>
      <c r="E290" s="11" t="s">
        <v>1223</v>
      </c>
      <c r="F290" s="14">
        <v>30644</v>
      </c>
      <c r="G290" s="17">
        <v>45940</v>
      </c>
      <c r="H290" s="11" t="s">
        <v>1224</v>
      </c>
      <c r="I290" s="11" t="s">
        <v>265</v>
      </c>
      <c r="J290" s="11" t="s">
        <v>1221</v>
      </c>
      <c r="K290" s="11" t="s">
        <v>50</v>
      </c>
      <c r="L290" s="23">
        <v>45987</v>
      </c>
      <c r="M290" s="11"/>
      <c r="N290" s="9" t="s">
        <v>30</v>
      </c>
      <c r="O290" s="11" t="s">
        <v>31</v>
      </c>
      <c r="P290" s="9" t="s">
        <v>101</v>
      </c>
      <c r="Q290" s="11"/>
    </row>
    <row r="291" spans="1:17" ht="66" x14ac:dyDescent="0.25">
      <c r="A291" s="13">
        <v>280</v>
      </c>
      <c r="B291" s="16" t="s">
        <v>1225</v>
      </c>
      <c r="C291" s="9">
        <v>15</v>
      </c>
      <c r="D291" s="11" t="str">
        <f t="shared" ca="1" si="6"/>
        <v>15 বছর 6 মাস 6 দিন</v>
      </c>
      <c r="E291" s="11" t="s">
        <v>1226</v>
      </c>
      <c r="F291" s="14">
        <v>30645</v>
      </c>
      <c r="G291" s="17">
        <v>45940</v>
      </c>
      <c r="H291" s="11" t="s">
        <v>1227</v>
      </c>
      <c r="I291" s="11" t="s">
        <v>202</v>
      </c>
      <c r="J291" s="11" t="s">
        <v>839</v>
      </c>
      <c r="K291" s="11" t="s">
        <v>50</v>
      </c>
      <c r="L291" s="23">
        <v>45980</v>
      </c>
      <c r="M291" s="11"/>
      <c r="N291" s="9" t="s">
        <v>30</v>
      </c>
      <c r="O291" s="11" t="s">
        <v>31</v>
      </c>
      <c r="P291" s="11" t="s">
        <v>294</v>
      </c>
      <c r="Q291" s="11"/>
    </row>
    <row r="292" spans="1:17" ht="66" x14ac:dyDescent="0.25">
      <c r="A292" s="13">
        <v>281</v>
      </c>
      <c r="B292" s="16" t="s">
        <v>1228</v>
      </c>
      <c r="C292" s="9">
        <v>17</v>
      </c>
      <c r="D292" s="11" t="str">
        <f t="shared" ca="1" si="6"/>
        <v>17 বছর 6 মাস 6 দিন</v>
      </c>
      <c r="E292" s="11" t="s">
        <v>1229</v>
      </c>
      <c r="F292" s="14">
        <v>30646</v>
      </c>
      <c r="G292" s="17">
        <v>45940</v>
      </c>
      <c r="H292" s="11" t="s">
        <v>1230</v>
      </c>
      <c r="I292" s="11" t="s">
        <v>48</v>
      </c>
      <c r="J292" s="11" t="s">
        <v>1231</v>
      </c>
      <c r="K292" s="11" t="s">
        <v>50</v>
      </c>
      <c r="L292" s="23">
        <v>45974</v>
      </c>
      <c r="M292" s="11"/>
      <c r="N292" s="9" t="s">
        <v>30</v>
      </c>
      <c r="O292" s="11" t="s">
        <v>34</v>
      </c>
      <c r="P292" s="9" t="s">
        <v>69</v>
      </c>
      <c r="Q292" s="11"/>
    </row>
    <row r="293" spans="1:17" ht="66" x14ac:dyDescent="0.25">
      <c r="A293" s="13">
        <v>282</v>
      </c>
      <c r="B293" s="16" t="s">
        <v>1232</v>
      </c>
      <c r="C293" s="9">
        <v>17</v>
      </c>
      <c r="D293" s="11" t="str">
        <f t="shared" ca="1" si="6"/>
        <v>17 বছর 6 মাস 5 দিন</v>
      </c>
      <c r="E293" s="11" t="s">
        <v>1233</v>
      </c>
      <c r="F293" s="14">
        <v>30650</v>
      </c>
      <c r="G293" s="17">
        <v>45941</v>
      </c>
      <c r="H293" s="11" t="s">
        <v>1234</v>
      </c>
      <c r="I293" s="11" t="s">
        <v>202</v>
      </c>
      <c r="J293" s="11" t="s">
        <v>1179</v>
      </c>
      <c r="K293" s="11" t="s">
        <v>50</v>
      </c>
      <c r="L293" s="23"/>
      <c r="M293" s="11"/>
      <c r="N293" s="9" t="s">
        <v>30</v>
      </c>
      <c r="O293" s="11" t="s">
        <v>51</v>
      </c>
      <c r="P293" s="16" t="s">
        <v>158</v>
      </c>
      <c r="Q293" s="11" t="s">
        <v>159</v>
      </c>
    </row>
    <row r="294" spans="1:17" ht="66" x14ac:dyDescent="0.25">
      <c r="A294" s="13">
        <v>283</v>
      </c>
      <c r="B294" s="16" t="s">
        <v>1235</v>
      </c>
      <c r="C294" s="9">
        <v>16</v>
      </c>
      <c r="D294" s="11" t="str">
        <f t="shared" ca="1" si="6"/>
        <v>16 বছর 6 মাস 4 দিন</v>
      </c>
      <c r="E294" s="11" t="s">
        <v>1236</v>
      </c>
      <c r="F294" s="14">
        <v>30651</v>
      </c>
      <c r="G294" s="17">
        <v>45942</v>
      </c>
      <c r="H294" s="11" t="s">
        <v>1237</v>
      </c>
      <c r="I294" s="11" t="s">
        <v>27</v>
      </c>
      <c r="J294" s="11" t="s">
        <v>1238</v>
      </c>
      <c r="K294" s="11" t="s">
        <v>50</v>
      </c>
      <c r="L294" s="23"/>
      <c r="M294" s="11"/>
      <c r="N294" s="9" t="s">
        <v>30</v>
      </c>
      <c r="O294" s="11" t="s">
        <v>31</v>
      </c>
      <c r="P294" s="11" t="s">
        <v>361</v>
      </c>
      <c r="Q294" s="11"/>
    </row>
    <row r="295" spans="1:17" ht="66" x14ac:dyDescent="0.25">
      <c r="A295" s="13">
        <v>284</v>
      </c>
      <c r="B295" s="16" t="s">
        <v>1239</v>
      </c>
      <c r="C295" s="9">
        <v>14</v>
      </c>
      <c r="D295" s="11" t="str">
        <f t="shared" ca="1" si="6"/>
        <v>14 বছর 6 মাস 4 দিন</v>
      </c>
      <c r="E295" s="11" t="s">
        <v>1240</v>
      </c>
      <c r="F295" s="14">
        <v>30652</v>
      </c>
      <c r="G295" s="17">
        <v>45942</v>
      </c>
      <c r="H295" s="11" t="s">
        <v>1241</v>
      </c>
      <c r="I295" s="11" t="s">
        <v>27</v>
      </c>
      <c r="J295" s="11" t="s">
        <v>1043</v>
      </c>
      <c r="K295" s="11" t="s">
        <v>50</v>
      </c>
      <c r="L295" s="23">
        <v>45973</v>
      </c>
      <c r="M295" s="11"/>
      <c r="N295" s="9" t="s">
        <v>30</v>
      </c>
      <c r="O295" s="11" t="s">
        <v>31</v>
      </c>
      <c r="P295" s="9" t="s">
        <v>367</v>
      </c>
      <c r="Q295" s="11"/>
    </row>
    <row r="296" spans="1:17" ht="66" x14ac:dyDescent="0.25">
      <c r="A296" s="13">
        <v>285</v>
      </c>
      <c r="B296" s="16" t="s">
        <v>1242</v>
      </c>
      <c r="C296" s="9">
        <v>15</v>
      </c>
      <c r="D296" s="11" t="str">
        <f t="shared" ca="1" si="6"/>
        <v>15 বছর 6 মাস 2 দিন</v>
      </c>
      <c r="E296" s="11" t="s">
        <v>1243</v>
      </c>
      <c r="F296" s="14">
        <v>30663</v>
      </c>
      <c r="G296" s="17">
        <v>45944</v>
      </c>
      <c r="H296" s="11" t="s">
        <v>1244</v>
      </c>
      <c r="I296" s="11" t="s">
        <v>27</v>
      </c>
      <c r="J296" s="11" t="s">
        <v>857</v>
      </c>
      <c r="K296" s="11" t="s">
        <v>50</v>
      </c>
      <c r="L296" s="23">
        <v>45963</v>
      </c>
      <c r="M296" s="11"/>
      <c r="N296" s="9" t="s">
        <v>30</v>
      </c>
      <c r="O296" s="11" t="s">
        <v>31</v>
      </c>
      <c r="P296" s="9" t="s">
        <v>385</v>
      </c>
      <c r="Q296" s="11"/>
    </row>
    <row r="297" spans="1:17" ht="66" x14ac:dyDescent="0.25">
      <c r="A297" s="13">
        <v>286</v>
      </c>
      <c r="B297" s="16" t="s">
        <v>1245</v>
      </c>
      <c r="C297" s="9">
        <v>16</v>
      </c>
      <c r="D297" s="11" t="str">
        <f t="shared" ca="1" si="6"/>
        <v>16 বছর 6 মাস 2 দিন</v>
      </c>
      <c r="E297" s="11" t="s">
        <v>1246</v>
      </c>
      <c r="F297" s="14">
        <v>30667</v>
      </c>
      <c r="G297" s="17">
        <v>45944</v>
      </c>
      <c r="H297" s="11" t="s">
        <v>1247</v>
      </c>
      <c r="I297" s="11" t="s">
        <v>27</v>
      </c>
      <c r="J297" s="11" t="s">
        <v>1248</v>
      </c>
      <c r="K297" s="11" t="s">
        <v>50</v>
      </c>
      <c r="L297" s="23">
        <v>46033</v>
      </c>
      <c r="M297" s="11"/>
      <c r="N297" s="9" t="s">
        <v>30</v>
      </c>
      <c r="O297" s="11" t="s">
        <v>31</v>
      </c>
      <c r="P297" s="9" t="s">
        <v>391</v>
      </c>
      <c r="Q297" s="11"/>
    </row>
    <row r="298" spans="1:17" ht="66" x14ac:dyDescent="0.25">
      <c r="A298" s="13">
        <v>287</v>
      </c>
      <c r="B298" s="16" t="s">
        <v>1249</v>
      </c>
      <c r="C298" s="9"/>
      <c r="D298" s="11" t="str">
        <f t="shared" ca="1" si="6"/>
        <v>0 বছর 6 মাস 1 দিন</v>
      </c>
      <c r="E298" s="11" t="s">
        <v>1250</v>
      </c>
      <c r="F298" s="14">
        <v>30674</v>
      </c>
      <c r="G298" s="17">
        <v>45945</v>
      </c>
      <c r="H298" s="11" t="s">
        <v>1251</v>
      </c>
      <c r="I298" s="11" t="s">
        <v>27</v>
      </c>
      <c r="J298" s="11" t="s">
        <v>1252</v>
      </c>
      <c r="K298" s="11" t="s">
        <v>50</v>
      </c>
      <c r="L298" s="23"/>
      <c r="M298" s="11"/>
      <c r="N298" s="9" t="s">
        <v>30</v>
      </c>
      <c r="O298" s="11" t="s">
        <v>31</v>
      </c>
      <c r="P298" s="16" t="s">
        <v>158</v>
      </c>
      <c r="Q298" s="11" t="s">
        <v>930</v>
      </c>
    </row>
    <row r="299" spans="1:17" ht="66" x14ac:dyDescent="0.25">
      <c r="A299" s="13">
        <v>288</v>
      </c>
      <c r="B299" s="16" t="s">
        <v>1253</v>
      </c>
      <c r="C299" s="9">
        <v>17</v>
      </c>
      <c r="D299" s="11" t="str">
        <f t="shared" ref="D299:D314" ca="1" si="7">C299+DATEDIF(G299,TODAY(),"y")&amp;" "&amp;"বছর"&amp;" "&amp;DATEDIF(G299,TODAY(),"ym")&amp;" "&amp;"মাস"&amp;" "&amp;DATEDIF(G299,TODAY(),"md")&amp;" "&amp;"দিন"</f>
        <v>17 বছর 6 মাস 1 দিন</v>
      </c>
      <c r="E299" s="11" t="s">
        <v>1254</v>
      </c>
      <c r="F299" s="14">
        <v>30675</v>
      </c>
      <c r="G299" s="17">
        <v>45945</v>
      </c>
      <c r="H299" s="11" t="s">
        <v>1255</v>
      </c>
      <c r="I299" s="11" t="s">
        <v>202</v>
      </c>
      <c r="J299" s="11" t="s">
        <v>1256</v>
      </c>
      <c r="K299" s="11" t="s">
        <v>50</v>
      </c>
      <c r="L299" s="23">
        <v>45957</v>
      </c>
      <c r="M299" s="11"/>
      <c r="N299" s="9" t="s">
        <v>30</v>
      </c>
      <c r="O299" s="11" t="s">
        <v>110</v>
      </c>
      <c r="P299" s="16" t="s">
        <v>158</v>
      </c>
      <c r="Q299" s="11" t="s">
        <v>1257</v>
      </c>
    </row>
    <row r="300" spans="1:17" ht="66" x14ac:dyDescent="0.25">
      <c r="A300" s="13">
        <v>289</v>
      </c>
      <c r="B300" s="16" t="s">
        <v>1258</v>
      </c>
      <c r="C300" s="9">
        <v>15</v>
      </c>
      <c r="D300" s="11" t="str">
        <f t="shared" ca="1" si="7"/>
        <v>15 বছর 6 মাস 0 দিন</v>
      </c>
      <c r="E300" s="11" t="s">
        <v>1259</v>
      </c>
      <c r="F300" s="14">
        <v>30679</v>
      </c>
      <c r="G300" s="17">
        <v>45946</v>
      </c>
      <c r="H300" s="11" t="s">
        <v>1260</v>
      </c>
      <c r="I300" s="11" t="s">
        <v>27</v>
      </c>
      <c r="J300" s="11" t="s">
        <v>1261</v>
      </c>
      <c r="K300" s="11" t="s">
        <v>50</v>
      </c>
      <c r="L300" s="23">
        <v>45978</v>
      </c>
      <c r="M300" s="11"/>
      <c r="N300" s="9" t="s">
        <v>30</v>
      </c>
      <c r="O300" s="11" t="s">
        <v>31</v>
      </c>
      <c r="P300" s="9" t="s">
        <v>120</v>
      </c>
      <c r="Q300" s="11"/>
    </row>
    <row r="301" spans="1:17" ht="82.5" x14ac:dyDescent="0.25">
      <c r="A301" s="13">
        <v>290</v>
      </c>
      <c r="B301" s="16" t="s">
        <v>1262</v>
      </c>
      <c r="C301" s="9">
        <v>17</v>
      </c>
      <c r="D301" s="11" t="str">
        <f t="shared" ca="1" si="7"/>
        <v>17 বছর 6 মাস 0 দিন</v>
      </c>
      <c r="E301" s="11" t="s">
        <v>1263</v>
      </c>
      <c r="F301" s="14">
        <v>30680</v>
      </c>
      <c r="G301" s="17">
        <v>45946</v>
      </c>
      <c r="H301" s="11" t="s">
        <v>1264</v>
      </c>
      <c r="I301" s="11" t="s">
        <v>38</v>
      </c>
      <c r="J301" s="11" t="s">
        <v>1265</v>
      </c>
      <c r="K301" s="11" t="s">
        <v>50</v>
      </c>
      <c r="L301" s="23">
        <v>45952</v>
      </c>
      <c r="M301" s="11"/>
      <c r="N301" s="9" t="s">
        <v>30</v>
      </c>
      <c r="O301" s="11" t="s">
        <v>51</v>
      </c>
      <c r="P301" s="16" t="s">
        <v>81</v>
      </c>
      <c r="Q301" s="11" t="s">
        <v>82</v>
      </c>
    </row>
    <row r="302" spans="1:17" ht="66" x14ac:dyDescent="0.25">
      <c r="A302" s="13">
        <v>291</v>
      </c>
      <c r="B302" s="16" t="s">
        <v>1266</v>
      </c>
      <c r="C302" s="9">
        <v>14</v>
      </c>
      <c r="D302" s="11" t="str">
        <f t="shared" ca="1" si="7"/>
        <v>14 বছর 6 মাস 0 দিন</v>
      </c>
      <c r="E302" s="11" t="s">
        <v>1267</v>
      </c>
      <c r="F302" s="14">
        <v>30685</v>
      </c>
      <c r="G302" s="17">
        <v>45946</v>
      </c>
      <c r="H302" s="11" t="s">
        <v>1268</v>
      </c>
      <c r="I302" s="11" t="s">
        <v>265</v>
      </c>
      <c r="J302" s="11" t="s">
        <v>1063</v>
      </c>
      <c r="K302" s="11" t="s">
        <v>50</v>
      </c>
      <c r="L302" s="23">
        <v>45970</v>
      </c>
      <c r="M302" s="11"/>
      <c r="N302" s="9" t="s">
        <v>30</v>
      </c>
      <c r="O302" s="11" t="s">
        <v>31</v>
      </c>
      <c r="P302" s="9" t="s">
        <v>417</v>
      </c>
      <c r="Q302" s="11"/>
    </row>
    <row r="303" spans="1:17" ht="132" x14ac:dyDescent="0.25">
      <c r="A303" s="13">
        <v>292</v>
      </c>
      <c r="B303" s="16" t="s">
        <v>1269</v>
      </c>
      <c r="C303" s="9"/>
      <c r="D303" s="11" t="str">
        <f t="shared" ca="1" si="7"/>
        <v>0 বছর 6 মাস 0 দিন</v>
      </c>
      <c r="E303" s="11" t="s">
        <v>1270</v>
      </c>
      <c r="F303" s="14">
        <v>30686</v>
      </c>
      <c r="G303" s="17">
        <v>45946</v>
      </c>
      <c r="H303" s="11" t="s">
        <v>1271</v>
      </c>
      <c r="I303" s="11" t="s">
        <v>48</v>
      </c>
      <c r="J303" s="11" t="s">
        <v>951</v>
      </c>
      <c r="K303" s="11" t="s">
        <v>50</v>
      </c>
      <c r="L303" s="23">
        <v>45950</v>
      </c>
      <c r="M303" s="11"/>
      <c r="N303" s="9" t="s">
        <v>30</v>
      </c>
      <c r="O303" s="11" t="s">
        <v>31</v>
      </c>
      <c r="P303" s="11" t="s">
        <v>294</v>
      </c>
      <c r="Q303" s="11"/>
    </row>
    <row r="304" spans="1:17" ht="66" x14ac:dyDescent="0.25">
      <c r="A304" s="13">
        <v>293</v>
      </c>
      <c r="B304" s="16" t="s">
        <v>1272</v>
      </c>
      <c r="C304" s="9">
        <v>15</v>
      </c>
      <c r="D304" s="11" t="str">
        <f t="shared" ca="1" si="7"/>
        <v>15 বছর 6 মাস 0 দিন</v>
      </c>
      <c r="E304" s="11" t="s">
        <v>1273</v>
      </c>
      <c r="F304" s="14">
        <v>30690</v>
      </c>
      <c r="G304" s="17">
        <v>45946</v>
      </c>
      <c r="H304" s="11" t="s">
        <v>1274</v>
      </c>
      <c r="I304" s="11" t="s">
        <v>27</v>
      </c>
      <c r="J304" s="11" t="s">
        <v>1075</v>
      </c>
      <c r="K304" s="11" t="s">
        <v>50</v>
      </c>
      <c r="L304" s="23" t="s">
        <v>1275</v>
      </c>
      <c r="M304" s="11"/>
      <c r="N304" s="9" t="s">
        <v>30</v>
      </c>
      <c r="O304" s="11" t="s">
        <v>31</v>
      </c>
      <c r="P304" s="9" t="s">
        <v>441</v>
      </c>
      <c r="Q304" s="11"/>
    </row>
    <row r="305" spans="1:17" ht="66" x14ac:dyDescent="0.25">
      <c r="A305" s="13">
        <v>294</v>
      </c>
      <c r="B305" s="16" t="s">
        <v>1276</v>
      </c>
      <c r="C305" s="9">
        <v>17</v>
      </c>
      <c r="D305" s="11" t="str">
        <f t="shared" ca="1" si="7"/>
        <v>17 বছর 5 মাস 30 দিন</v>
      </c>
      <c r="E305" s="11" t="s">
        <v>1277</v>
      </c>
      <c r="F305" s="14">
        <v>30692</v>
      </c>
      <c r="G305" s="17">
        <v>45947</v>
      </c>
      <c r="H305" s="11" t="s">
        <v>1278</v>
      </c>
      <c r="I305" s="11" t="s">
        <v>292</v>
      </c>
      <c r="J305" s="11" t="s">
        <v>1279</v>
      </c>
      <c r="K305" s="11" t="s">
        <v>50</v>
      </c>
      <c r="L305" s="23">
        <v>45978</v>
      </c>
      <c r="M305" s="11"/>
      <c r="N305" s="9" t="s">
        <v>30</v>
      </c>
      <c r="O305" s="11" t="s">
        <v>100</v>
      </c>
      <c r="P305" s="16" t="s">
        <v>158</v>
      </c>
      <c r="Q305" s="11" t="s">
        <v>930</v>
      </c>
    </row>
    <row r="306" spans="1:17" ht="66" x14ac:dyDescent="0.25">
      <c r="A306" s="13">
        <v>295</v>
      </c>
      <c r="B306" s="16" t="s">
        <v>1280</v>
      </c>
      <c r="C306" s="9">
        <v>17</v>
      </c>
      <c r="D306" s="11" t="str">
        <f t="shared" ca="1" si="7"/>
        <v>17 বছর 5 মাস 30 দিন</v>
      </c>
      <c r="E306" s="11" t="s">
        <v>1281</v>
      </c>
      <c r="F306" s="14">
        <v>30695</v>
      </c>
      <c r="G306" s="17">
        <v>45947</v>
      </c>
      <c r="H306" s="11" t="s">
        <v>1282</v>
      </c>
      <c r="I306" s="11" t="s">
        <v>292</v>
      </c>
      <c r="J306" s="11" t="s">
        <v>1075</v>
      </c>
      <c r="K306" s="11" t="s">
        <v>50</v>
      </c>
      <c r="L306" s="23">
        <v>45984</v>
      </c>
      <c r="M306" s="11"/>
      <c r="N306" s="9" t="s">
        <v>30</v>
      </c>
      <c r="O306" s="11" t="s">
        <v>110</v>
      </c>
      <c r="P306" s="11" t="s">
        <v>459</v>
      </c>
      <c r="Q306" s="11"/>
    </row>
    <row r="307" spans="1:17" ht="132" x14ac:dyDescent="0.25">
      <c r="A307" s="13">
        <v>296</v>
      </c>
      <c r="B307" s="16" t="s">
        <v>1283</v>
      </c>
      <c r="C307" s="9"/>
      <c r="D307" s="11" t="str">
        <f t="shared" ca="1" si="7"/>
        <v>0 বছর 5 মাস 29 দিন</v>
      </c>
      <c r="E307" s="11" t="s">
        <v>1284</v>
      </c>
      <c r="F307" s="14">
        <v>30698</v>
      </c>
      <c r="G307" s="17">
        <v>45948</v>
      </c>
      <c r="H307" s="11" t="s">
        <v>1285</v>
      </c>
      <c r="I307" s="11" t="s">
        <v>38</v>
      </c>
      <c r="J307" s="11" t="s">
        <v>1286</v>
      </c>
      <c r="K307" s="11" t="s">
        <v>50</v>
      </c>
      <c r="L307" s="23">
        <v>45957</v>
      </c>
      <c r="M307" s="11"/>
      <c r="N307" s="9" t="s">
        <v>30</v>
      </c>
      <c r="O307" s="11" t="s">
        <v>31</v>
      </c>
      <c r="P307" s="16" t="s">
        <v>158</v>
      </c>
      <c r="Q307" s="11" t="s">
        <v>169</v>
      </c>
    </row>
    <row r="308" spans="1:17" ht="66" x14ac:dyDescent="0.25">
      <c r="A308" s="13">
        <v>297</v>
      </c>
      <c r="B308" s="16" t="s">
        <v>1287</v>
      </c>
      <c r="C308" s="9">
        <v>17</v>
      </c>
      <c r="D308" s="11" t="str">
        <f t="shared" ca="1" si="7"/>
        <v>17 বছর 5 মাস 29 দিন</v>
      </c>
      <c r="E308" s="11" t="s">
        <v>1288</v>
      </c>
      <c r="F308" s="14">
        <v>30699</v>
      </c>
      <c r="G308" s="17">
        <v>45948</v>
      </c>
      <c r="H308" s="11" t="s">
        <v>1289</v>
      </c>
      <c r="I308" s="11" t="s">
        <v>265</v>
      </c>
      <c r="J308" s="11" t="s">
        <v>1187</v>
      </c>
      <c r="K308" s="11" t="s">
        <v>50</v>
      </c>
      <c r="L308" s="23">
        <v>45986</v>
      </c>
      <c r="M308" s="11"/>
      <c r="N308" s="9" t="s">
        <v>30</v>
      </c>
      <c r="O308" s="11" t="s">
        <v>110</v>
      </c>
      <c r="P308" s="9" t="s">
        <v>373</v>
      </c>
      <c r="Q308" s="11"/>
    </row>
    <row r="309" spans="1:17" ht="66" x14ac:dyDescent="0.25">
      <c r="A309" s="13">
        <v>298</v>
      </c>
      <c r="B309" s="16" t="s">
        <v>1290</v>
      </c>
      <c r="C309" s="9"/>
      <c r="D309" s="11" t="str">
        <f t="shared" ca="1" si="7"/>
        <v>0 বছর 5 মাস 29 দিন</v>
      </c>
      <c r="E309" s="11" t="s">
        <v>1291</v>
      </c>
      <c r="F309" s="14">
        <v>30701</v>
      </c>
      <c r="G309" s="17">
        <v>45948</v>
      </c>
      <c r="H309" s="11" t="s">
        <v>1292</v>
      </c>
      <c r="I309" s="11" t="s">
        <v>48</v>
      </c>
      <c r="J309" s="11" t="s">
        <v>1293</v>
      </c>
      <c r="K309" s="11" t="s">
        <v>50</v>
      </c>
      <c r="L309" s="23"/>
      <c r="M309" s="11"/>
      <c r="N309" s="9" t="s">
        <v>30</v>
      </c>
      <c r="O309" s="11" t="s">
        <v>31</v>
      </c>
      <c r="P309" s="11" t="s">
        <v>294</v>
      </c>
      <c r="Q309" s="11"/>
    </row>
    <row r="310" spans="1:17" ht="66" x14ac:dyDescent="0.25">
      <c r="A310" s="13">
        <v>299</v>
      </c>
      <c r="B310" s="16" t="s">
        <v>1294</v>
      </c>
      <c r="C310" s="9"/>
      <c r="D310" s="11" t="str">
        <f t="shared" ca="1" si="7"/>
        <v>0 বছর 5 মাস 29 দিন</v>
      </c>
      <c r="E310" s="11" t="s">
        <v>1295</v>
      </c>
      <c r="F310" s="14">
        <v>30702</v>
      </c>
      <c r="G310" s="17">
        <v>45948</v>
      </c>
      <c r="H310" s="11" t="s">
        <v>1292</v>
      </c>
      <c r="I310" s="11" t="s">
        <v>48</v>
      </c>
      <c r="J310" s="11" t="s">
        <v>1293</v>
      </c>
      <c r="K310" s="11" t="s">
        <v>50</v>
      </c>
      <c r="L310" s="23"/>
      <c r="M310" s="11"/>
      <c r="N310" s="9" t="s">
        <v>30</v>
      </c>
      <c r="O310" s="11" t="s">
        <v>31</v>
      </c>
      <c r="P310" s="9" t="s">
        <v>478</v>
      </c>
      <c r="Q310" s="11"/>
    </row>
    <row r="311" spans="1:17" ht="66" x14ac:dyDescent="0.25">
      <c r="A311" s="13">
        <v>300</v>
      </c>
      <c r="B311" s="16" t="s">
        <v>1296</v>
      </c>
      <c r="C311" s="9"/>
      <c r="D311" s="11" t="str">
        <f t="shared" ca="1" si="7"/>
        <v>0 বছর 5 মাস 29 দিন</v>
      </c>
      <c r="E311" s="11" t="s">
        <v>1297</v>
      </c>
      <c r="F311" s="14">
        <v>30704</v>
      </c>
      <c r="G311" s="17">
        <v>45948</v>
      </c>
      <c r="H311" s="11" t="s">
        <v>1298</v>
      </c>
      <c r="I311" s="11" t="s">
        <v>843</v>
      </c>
      <c r="J311" s="11" t="s">
        <v>951</v>
      </c>
      <c r="K311" s="11" t="s">
        <v>50</v>
      </c>
      <c r="L311" s="23">
        <v>45960</v>
      </c>
      <c r="M311" s="11"/>
      <c r="N311" s="9" t="s">
        <v>30</v>
      </c>
      <c r="O311" s="11" t="s">
        <v>31</v>
      </c>
      <c r="P311" s="9" t="s">
        <v>69</v>
      </c>
      <c r="Q311" s="11"/>
    </row>
    <row r="312" spans="1:17" ht="66" x14ac:dyDescent="0.25">
      <c r="A312" s="13">
        <v>301</v>
      </c>
      <c r="B312" s="16" t="s">
        <v>1299</v>
      </c>
      <c r="C312" s="9"/>
      <c r="D312" s="11" t="str">
        <f t="shared" ca="1" si="7"/>
        <v>0 বছর 5 মাস 29 দিন</v>
      </c>
      <c r="E312" s="11" t="s">
        <v>1300</v>
      </c>
      <c r="F312" s="14">
        <v>30705</v>
      </c>
      <c r="G312" s="17">
        <v>45948</v>
      </c>
      <c r="H312" s="11" t="s">
        <v>1298</v>
      </c>
      <c r="I312" s="11" t="s">
        <v>843</v>
      </c>
      <c r="J312" s="11" t="s">
        <v>951</v>
      </c>
      <c r="K312" s="11" t="s">
        <v>50</v>
      </c>
      <c r="L312" s="23">
        <v>45960</v>
      </c>
      <c r="M312" s="11"/>
      <c r="N312" s="9" t="s">
        <v>30</v>
      </c>
      <c r="O312" s="11" t="s">
        <v>31</v>
      </c>
      <c r="P312" s="9" t="s">
        <v>101</v>
      </c>
      <c r="Q312" s="11"/>
    </row>
    <row r="313" spans="1:17" ht="66" x14ac:dyDescent="0.25">
      <c r="A313" s="13">
        <v>302</v>
      </c>
      <c r="B313" s="16" t="s">
        <v>1301</v>
      </c>
      <c r="C313" s="9"/>
      <c r="D313" s="11" t="str">
        <f t="shared" ca="1" si="7"/>
        <v>0 বছর 5 মাস 29 দিন</v>
      </c>
      <c r="E313" s="11" t="s">
        <v>1302</v>
      </c>
      <c r="F313" s="14">
        <v>30706</v>
      </c>
      <c r="G313" s="17">
        <v>45948</v>
      </c>
      <c r="H313" s="11" t="s">
        <v>1298</v>
      </c>
      <c r="I313" s="11" t="s">
        <v>843</v>
      </c>
      <c r="J313" s="11" t="s">
        <v>951</v>
      </c>
      <c r="K313" s="11" t="s">
        <v>50</v>
      </c>
      <c r="L313" s="23">
        <v>45960</v>
      </c>
      <c r="M313" s="11"/>
      <c r="N313" s="9" t="s">
        <v>30</v>
      </c>
      <c r="O313" s="11" t="s">
        <v>31</v>
      </c>
      <c r="P313" s="9" t="s">
        <v>805</v>
      </c>
      <c r="Q313" s="11"/>
    </row>
    <row r="314" spans="1:17" ht="66" x14ac:dyDescent="0.25">
      <c r="A314" s="13">
        <v>303</v>
      </c>
      <c r="B314" s="16" t="s">
        <v>1303</v>
      </c>
      <c r="C314" s="9">
        <v>16</v>
      </c>
      <c r="D314" s="11" t="str">
        <f t="shared" ca="1" si="7"/>
        <v>16 বছর 5 মাস 29 দিন</v>
      </c>
      <c r="E314" s="11" t="s">
        <v>1304</v>
      </c>
      <c r="F314" s="14">
        <v>30707</v>
      </c>
      <c r="G314" s="17">
        <v>45948</v>
      </c>
      <c r="H314" s="11" t="s">
        <v>1305</v>
      </c>
      <c r="I314" s="11" t="s">
        <v>843</v>
      </c>
      <c r="J314" s="11" t="s">
        <v>951</v>
      </c>
      <c r="K314" s="11" t="s">
        <v>50</v>
      </c>
      <c r="L314" s="23">
        <v>45963</v>
      </c>
      <c r="M314" s="11"/>
      <c r="N314" s="9" t="s">
        <v>30</v>
      </c>
      <c r="O314" s="11" t="s">
        <v>31</v>
      </c>
      <c r="P314" s="16" t="s">
        <v>158</v>
      </c>
      <c r="Q314" s="11" t="s">
        <v>960</v>
      </c>
    </row>
    <row r="315" spans="1:17" ht="66" x14ac:dyDescent="0.25">
      <c r="A315" s="13">
        <v>304</v>
      </c>
      <c r="B315" s="16" t="s">
        <v>1306</v>
      </c>
      <c r="C315" s="9">
        <v>18</v>
      </c>
      <c r="D315" s="11"/>
      <c r="E315" s="11" t="s">
        <v>1307</v>
      </c>
      <c r="F315" s="14">
        <v>30708</v>
      </c>
      <c r="G315" s="17">
        <v>45948</v>
      </c>
      <c r="H315" s="11" t="s">
        <v>1305</v>
      </c>
      <c r="I315" s="11" t="s">
        <v>843</v>
      </c>
      <c r="J315" s="11" t="s">
        <v>951</v>
      </c>
      <c r="K315" s="11" t="s">
        <v>50</v>
      </c>
      <c r="L315" s="23">
        <v>45963</v>
      </c>
      <c r="M315" s="11"/>
      <c r="N315" s="9" t="s">
        <v>30</v>
      </c>
      <c r="O315" s="11" t="s">
        <v>51</v>
      </c>
      <c r="P315" s="11" t="s">
        <v>174</v>
      </c>
      <c r="Q315" s="11"/>
    </row>
    <row r="316" spans="1:17" ht="66" x14ac:dyDescent="0.25">
      <c r="A316" s="13">
        <v>305</v>
      </c>
      <c r="B316" s="16" t="s">
        <v>1308</v>
      </c>
      <c r="C316" s="9">
        <v>13</v>
      </c>
      <c r="D316" s="11" t="str">
        <f t="shared" ref="D316:D379" ca="1" si="8">C316+DATEDIF(G316,TODAY(),"y")&amp;" "&amp;"বছর"&amp;" "&amp;DATEDIF(G316,TODAY(),"ym")&amp;" "&amp;"মাস"&amp;" "&amp;DATEDIF(G316,TODAY(),"md")&amp;" "&amp;"দিন"</f>
        <v>13 বছর 5 মাস 28 দিন</v>
      </c>
      <c r="E316" s="11" t="s">
        <v>1309</v>
      </c>
      <c r="F316" s="14">
        <v>30715</v>
      </c>
      <c r="G316" s="17">
        <v>45949</v>
      </c>
      <c r="H316" s="11" t="s">
        <v>1310</v>
      </c>
      <c r="I316" s="11" t="s">
        <v>38</v>
      </c>
      <c r="J316" s="11" t="s">
        <v>1311</v>
      </c>
      <c r="K316" s="11" t="s">
        <v>50</v>
      </c>
      <c r="L316" s="23">
        <v>45943</v>
      </c>
      <c r="M316" s="11"/>
      <c r="N316" s="9" t="s">
        <v>30</v>
      </c>
      <c r="O316" s="11" t="s">
        <v>31</v>
      </c>
      <c r="P316" s="9" t="s">
        <v>180</v>
      </c>
      <c r="Q316" s="11"/>
    </row>
    <row r="317" spans="1:17" ht="66" x14ac:dyDescent="0.25">
      <c r="A317" s="13">
        <v>306</v>
      </c>
      <c r="B317" s="16" t="s">
        <v>1312</v>
      </c>
      <c r="C317" s="9">
        <v>17</v>
      </c>
      <c r="D317" s="11" t="str">
        <f t="shared" ca="1" si="8"/>
        <v>17 বছর 5 মাস 28 দিন</v>
      </c>
      <c r="E317" s="11" t="s">
        <v>1313</v>
      </c>
      <c r="F317" s="14">
        <v>30718</v>
      </c>
      <c r="G317" s="17">
        <v>45949</v>
      </c>
      <c r="H317" s="11" t="s">
        <v>1314</v>
      </c>
      <c r="I317" s="11" t="s">
        <v>27</v>
      </c>
      <c r="J317" s="11" t="s">
        <v>1315</v>
      </c>
      <c r="K317" s="11" t="s">
        <v>50</v>
      </c>
      <c r="L317" s="23">
        <v>45951</v>
      </c>
      <c r="M317" s="11"/>
      <c r="N317" s="9" t="s">
        <v>30</v>
      </c>
      <c r="O317" s="11" t="s">
        <v>34</v>
      </c>
      <c r="P317" s="9" t="s">
        <v>217</v>
      </c>
      <c r="Q317" s="11"/>
    </row>
    <row r="318" spans="1:17" ht="66" x14ac:dyDescent="0.25">
      <c r="A318" s="13">
        <v>307</v>
      </c>
      <c r="B318" s="16" t="s">
        <v>1316</v>
      </c>
      <c r="C318" s="9">
        <v>16</v>
      </c>
      <c r="D318" s="11" t="str">
        <f t="shared" ca="1" si="8"/>
        <v>16 বছর 5 মাস 28 দিন</v>
      </c>
      <c r="E318" s="11" t="s">
        <v>1317</v>
      </c>
      <c r="F318" s="14">
        <v>30734</v>
      </c>
      <c r="G318" s="17">
        <v>45949</v>
      </c>
      <c r="H318" s="11" t="s">
        <v>1318</v>
      </c>
      <c r="I318" s="11" t="s">
        <v>38</v>
      </c>
      <c r="J318" s="11" t="s">
        <v>1221</v>
      </c>
      <c r="K318" s="11" t="s">
        <v>50</v>
      </c>
      <c r="L318" s="23">
        <v>45972</v>
      </c>
      <c r="M318" s="11"/>
      <c r="N318" s="9" t="s">
        <v>30</v>
      </c>
      <c r="O318" s="11" t="s">
        <v>31</v>
      </c>
      <c r="P318" s="9" t="s">
        <v>521</v>
      </c>
      <c r="Q318" s="11"/>
    </row>
    <row r="319" spans="1:17" ht="66" x14ac:dyDescent="0.25">
      <c r="A319" s="13">
        <v>308</v>
      </c>
      <c r="B319" s="16" t="s">
        <v>1319</v>
      </c>
      <c r="C319" s="9">
        <v>17</v>
      </c>
      <c r="D319" s="11" t="str">
        <f t="shared" ca="1" si="8"/>
        <v>17 বছর 5 মাস 28 দিন</v>
      </c>
      <c r="E319" s="11" t="s">
        <v>1320</v>
      </c>
      <c r="F319" s="14">
        <v>30736</v>
      </c>
      <c r="G319" s="17">
        <v>45949</v>
      </c>
      <c r="H319" s="11" t="s">
        <v>1321</v>
      </c>
      <c r="I319" s="11" t="s">
        <v>38</v>
      </c>
      <c r="J319" s="11" t="s">
        <v>872</v>
      </c>
      <c r="K319" s="11" t="s">
        <v>50</v>
      </c>
      <c r="L319" s="23"/>
      <c r="M319" s="11"/>
      <c r="N319" s="9" t="s">
        <v>30</v>
      </c>
      <c r="O319" s="11" t="s">
        <v>34</v>
      </c>
      <c r="P319" s="16" t="s">
        <v>158</v>
      </c>
      <c r="Q319" s="11" t="s">
        <v>1322</v>
      </c>
    </row>
    <row r="320" spans="1:17" ht="66" x14ac:dyDescent="0.25">
      <c r="A320" s="13">
        <v>309</v>
      </c>
      <c r="B320" s="16" t="s">
        <v>1323</v>
      </c>
      <c r="C320" s="9">
        <v>19</v>
      </c>
      <c r="D320" s="11" t="str">
        <f t="shared" ca="1" si="8"/>
        <v>19 বছর 5 মাস 28 দিন</v>
      </c>
      <c r="E320" s="11" t="s">
        <v>1324</v>
      </c>
      <c r="F320" s="14">
        <v>30742</v>
      </c>
      <c r="G320" s="17">
        <v>45949</v>
      </c>
      <c r="H320" s="11" t="s">
        <v>1325</v>
      </c>
      <c r="I320" s="11" t="s">
        <v>265</v>
      </c>
      <c r="J320" s="11" t="s">
        <v>1326</v>
      </c>
      <c r="K320" s="11" t="s">
        <v>50</v>
      </c>
      <c r="L320" s="23"/>
      <c r="M320" s="11"/>
      <c r="N320" s="9" t="s">
        <v>30</v>
      </c>
      <c r="O320" s="11" t="s">
        <v>34</v>
      </c>
      <c r="P320" s="16" t="s">
        <v>158</v>
      </c>
      <c r="Q320" s="11" t="s">
        <v>283</v>
      </c>
    </row>
    <row r="321" spans="1:17" ht="66" x14ac:dyDescent="0.25">
      <c r="A321" s="13">
        <v>310</v>
      </c>
      <c r="B321" s="16" t="s">
        <v>1327</v>
      </c>
      <c r="C321" s="9">
        <v>14</v>
      </c>
      <c r="D321" s="11" t="str">
        <f t="shared" ca="1" si="8"/>
        <v>14 বছর 5 মাস 27 দিন</v>
      </c>
      <c r="E321" s="11" t="s">
        <v>1328</v>
      </c>
      <c r="F321" s="14">
        <v>30751</v>
      </c>
      <c r="G321" s="17">
        <v>45950</v>
      </c>
      <c r="H321" s="11" t="s">
        <v>1329</v>
      </c>
      <c r="I321" s="11" t="s">
        <v>265</v>
      </c>
      <c r="J321" s="11" t="s">
        <v>1330</v>
      </c>
      <c r="K321" s="11" t="s">
        <v>50</v>
      </c>
      <c r="L321" s="23"/>
      <c r="M321" s="11"/>
      <c r="N321" s="9" t="s">
        <v>30</v>
      </c>
      <c r="O321" s="11" t="s">
        <v>31</v>
      </c>
      <c r="P321" s="11" t="s">
        <v>32</v>
      </c>
      <c r="Q321" s="11"/>
    </row>
    <row r="322" spans="1:17" ht="66" x14ac:dyDescent="0.25">
      <c r="A322" s="13">
        <v>311</v>
      </c>
      <c r="B322" s="16" t="s">
        <v>1331</v>
      </c>
      <c r="C322" s="9">
        <v>16</v>
      </c>
      <c r="D322" s="11" t="str">
        <f t="shared" ca="1" si="8"/>
        <v>16 বছর 5 মাস 27 দিন</v>
      </c>
      <c r="E322" s="11" t="s">
        <v>1332</v>
      </c>
      <c r="F322" s="14">
        <v>30754</v>
      </c>
      <c r="G322" s="17">
        <v>45950</v>
      </c>
      <c r="H322" s="11" t="s">
        <v>1333</v>
      </c>
      <c r="I322" s="11" t="s">
        <v>48</v>
      </c>
      <c r="J322" s="11" t="s">
        <v>1043</v>
      </c>
      <c r="K322" s="11" t="s">
        <v>50</v>
      </c>
      <c r="L322" s="23">
        <v>45994</v>
      </c>
      <c r="M322" s="11"/>
      <c r="N322" s="9" t="s">
        <v>30</v>
      </c>
      <c r="O322" s="11" t="s">
        <v>31</v>
      </c>
      <c r="P322" s="16" t="s">
        <v>158</v>
      </c>
      <c r="Q322" s="11" t="s">
        <v>819</v>
      </c>
    </row>
    <row r="323" spans="1:17" ht="66" x14ac:dyDescent="0.25">
      <c r="A323" s="13">
        <v>312</v>
      </c>
      <c r="B323" s="16" t="s">
        <v>1334</v>
      </c>
      <c r="C323" s="9">
        <v>15</v>
      </c>
      <c r="D323" s="11" t="str">
        <f t="shared" ca="1" si="8"/>
        <v>15 বছর 5 মাস 27 দিন</v>
      </c>
      <c r="E323" s="11" t="s">
        <v>1335</v>
      </c>
      <c r="F323" s="14">
        <v>30756</v>
      </c>
      <c r="G323" s="17">
        <v>45950</v>
      </c>
      <c r="H323" s="11" t="s">
        <v>1336</v>
      </c>
      <c r="I323" s="11" t="s">
        <v>265</v>
      </c>
      <c r="J323" s="11" t="s">
        <v>1119</v>
      </c>
      <c r="K323" s="11" t="s">
        <v>50</v>
      </c>
      <c r="L323" s="23">
        <v>45980</v>
      </c>
      <c r="M323" s="11"/>
      <c r="N323" s="9" t="s">
        <v>30</v>
      </c>
      <c r="O323" s="11" t="s">
        <v>31</v>
      </c>
      <c r="P323" s="11" t="s">
        <v>57</v>
      </c>
      <c r="Q323" s="11"/>
    </row>
    <row r="324" spans="1:17" ht="66" x14ac:dyDescent="0.25">
      <c r="A324" s="13">
        <v>313</v>
      </c>
      <c r="B324" s="16" t="s">
        <v>1337</v>
      </c>
      <c r="C324" s="9">
        <v>14</v>
      </c>
      <c r="D324" s="11" t="str">
        <f t="shared" ca="1" si="8"/>
        <v>14 বছর 5 মাস 26 দিন</v>
      </c>
      <c r="E324" s="11" t="s">
        <v>1338</v>
      </c>
      <c r="F324" s="14">
        <v>30763</v>
      </c>
      <c r="G324" s="17">
        <v>45951</v>
      </c>
      <c r="H324" s="11" t="s">
        <v>1339</v>
      </c>
      <c r="I324" s="11" t="s">
        <v>48</v>
      </c>
      <c r="J324" s="11" t="s">
        <v>1231</v>
      </c>
      <c r="K324" s="11" t="s">
        <v>50</v>
      </c>
      <c r="L324" s="23">
        <v>45981</v>
      </c>
      <c r="M324" s="11"/>
      <c r="N324" s="9" t="s">
        <v>30</v>
      </c>
      <c r="O324" s="11" t="s">
        <v>31</v>
      </c>
      <c r="P324" s="9" t="s">
        <v>69</v>
      </c>
      <c r="Q324" s="11"/>
    </row>
    <row r="325" spans="1:17" ht="66" x14ac:dyDescent="0.25">
      <c r="A325" s="13">
        <v>314</v>
      </c>
      <c r="B325" s="16" t="s">
        <v>1340</v>
      </c>
      <c r="C325" s="9">
        <v>16</v>
      </c>
      <c r="D325" s="11" t="str">
        <f t="shared" ca="1" si="8"/>
        <v>16 বছর 5 মাস 26 দিন</v>
      </c>
      <c r="E325" s="11" t="s">
        <v>1341</v>
      </c>
      <c r="F325" s="14">
        <v>30771</v>
      </c>
      <c r="G325" s="17">
        <v>45951</v>
      </c>
      <c r="H325" s="11" t="s">
        <v>1342</v>
      </c>
      <c r="I325" s="11" t="s">
        <v>292</v>
      </c>
      <c r="J325" s="11" t="s">
        <v>1343</v>
      </c>
      <c r="K325" s="11" t="s">
        <v>50</v>
      </c>
      <c r="L325" s="23">
        <v>45985</v>
      </c>
      <c r="M325" s="11"/>
      <c r="N325" s="9" t="s">
        <v>30</v>
      </c>
      <c r="O325" s="11" t="s">
        <v>31</v>
      </c>
      <c r="P325" s="9" t="s">
        <v>94</v>
      </c>
      <c r="Q325" s="11"/>
    </row>
    <row r="326" spans="1:17" ht="66" x14ac:dyDescent="0.25">
      <c r="A326" s="13">
        <v>315</v>
      </c>
      <c r="B326" s="16" t="s">
        <v>1344</v>
      </c>
      <c r="C326" s="9">
        <v>14</v>
      </c>
      <c r="D326" s="11" t="str">
        <f t="shared" ca="1" si="8"/>
        <v>14 বছর 5 মাস 26 দিন</v>
      </c>
      <c r="E326" s="11" t="s">
        <v>1345</v>
      </c>
      <c r="F326" s="14">
        <v>30772</v>
      </c>
      <c r="G326" s="17">
        <v>45951</v>
      </c>
      <c r="H326" s="11" t="s">
        <v>1346</v>
      </c>
      <c r="I326" s="11" t="s">
        <v>27</v>
      </c>
      <c r="J326" s="11" t="s">
        <v>1205</v>
      </c>
      <c r="K326" s="11" t="s">
        <v>50</v>
      </c>
      <c r="L326" s="23">
        <v>45953</v>
      </c>
      <c r="M326" s="11"/>
      <c r="N326" s="9" t="s">
        <v>30</v>
      </c>
      <c r="O326" s="11" t="s">
        <v>31</v>
      </c>
      <c r="P326" s="9" t="s">
        <v>101</v>
      </c>
      <c r="Q326" s="11"/>
    </row>
    <row r="327" spans="1:17" ht="66" x14ac:dyDescent="0.25">
      <c r="A327" s="13">
        <v>316</v>
      </c>
      <c r="B327" s="16" t="s">
        <v>1347</v>
      </c>
      <c r="C327" s="9">
        <v>17</v>
      </c>
      <c r="D327" s="11" t="str">
        <f t="shared" ca="1" si="8"/>
        <v>17 বছর 5 মাস 25 দিন</v>
      </c>
      <c r="E327" s="11" t="s">
        <v>1348</v>
      </c>
      <c r="F327" s="14">
        <v>30774</v>
      </c>
      <c r="G327" s="17">
        <v>45952</v>
      </c>
      <c r="H327" s="11" t="s">
        <v>1349</v>
      </c>
      <c r="I327" s="11" t="s">
        <v>265</v>
      </c>
      <c r="J327" s="11" t="s">
        <v>1350</v>
      </c>
      <c r="K327" s="11" t="s">
        <v>50</v>
      </c>
      <c r="L327" s="23"/>
      <c r="M327" s="11"/>
      <c r="N327" s="9" t="s">
        <v>30</v>
      </c>
      <c r="O327" s="11" t="s">
        <v>100</v>
      </c>
      <c r="P327" s="9" t="s">
        <v>40</v>
      </c>
      <c r="Q327" s="11"/>
    </row>
    <row r="328" spans="1:17" ht="66" x14ac:dyDescent="0.25">
      <c r="A328" s="13">
        <v>317</v>
      </c>
      <c r="B328" s="16" t="s">
        <v>1351</v>
      </c>
      <c r="C328" s="9"/>
      <c r="D328" s="11" t="str">
        <f t="shared" ca="1" si="8"/>
        <v>0 বছর 5 মাস 24 দিন</v>
      </c>
      <c r="E328" s="11" t="s">
        <v>1352</v>
      </c>
      <c r="F328" s="14">
        <v>30778</v>
      </c>
      <c r="G328" s="17">
        <v>45953</v>
      </c>
      <c r="H328" s="11" t="s">
        <v>1353</v>
      </c>
      <c r="I328" s="11" t="s">
        <v>265</v>
      </c>
      <c r="J328" s="11" t="s">
        <v>1354</v>
      </c>
      <c r="K328" s="11" t="s">
        <v>50</v>
      </c>
      <c r="L328" s="23">
        <v>46005</v>
      </c>
      <c r="M328" s="11"/>
      <c r="N328" s="9" t="s">
        <v>30</v>
      </c>
      <c r="O328" s="11" t="s">
        <v>31</v>
      </c>
      <c r="P328" s="9" t="s">
        <v>52</v>
      </c>
      <c r="Q328" s="11"/>
    </row>
    <row r="329" spans="1:17" ht="66" x14ac:dyDescent="0.25">
      <c r="A329" s="13">
        <v>318</v>
      </c>
      <c r="B329" s="16" t="s">
        <v>1355</v>
      </c>
      <c r="C329" s="9">
        <v>15</v>
      </c>
      <c r="D329" s="11" t="str">
        <f t="shared" ca="1" si="8"/>
        <v>15 বছর 5 মাস 24 দিন</v>
      </c>
      <c r="E329" s="11" t="s">
        <v>1356</v>
      </c>
      <c r="F329" s="14">
        <v>30783</v>
      </c>
      <c r="G329" s="17">
        <v>45953</v>
      </c>
      <c r="H329" s="11" t="s">
        <v>1357</v>
      </c>
      <c r="I329" s="11" t="s">
        <v>48</v>
      </c>
      <c r="J329" s="11" t="s">
        <v>951</v>
      </c>
      <c r="K329" s="11" t="s">
        <v>50</v>
      </c>
      <c r="L329" s="23">
        <v>45987</v>
      </c>
      <c r="M329" s="11"/>
      <c r="N329" s="9" t="s">
        <v>30</v>
      </c>
      <c r="O329" s="11" t="s">
        <v>31</v>
      </c>
      <c r="P329" s="9" t="s">
        <v>120</v>
      </c>
      <c r="Q329" s="11"/>
    </row>
    <row r="330" spans="1:17" ht="66" x14ac:dyDescent="0.25">
      <c r="A330" s="13">
        <v>319</v>
      </c>
      <c r="B330" s="16" t="s">
        <v>1358</v>
      </c>
      <c r="C330" s="9"/>
      <c r="D330" s="11" t="str">
        <f t="shared" ca="1" si="8"/>
        <v>0 বছর 5 মাস 24 দিন</v>
      </c>
      <c r="E330" s="11" t="s">
        <v>1359</v>
      </c>
      <c r="F330" s="14">
        <v>30784</v>
      </c>
      <c r="G330" s="17">
        <v>45953</v>
      </c>
      <c r="H330" s="11" t="s">
        <v>1360</v>
      </c>
      <c r="I330" s="11" t="s">
        <v>27</v>
      </c>
      <c r="J330" s="11" t="s">
        <v>1361</v>
      </c>
      <c r="K330" s="11" t="s">
        <v>50</v>
      </c>
      <c r="L330" s="23"/>
      <c r="M330" s="11"/>
      <c r="N330" s="9" t="s">
        <v>30</v>
      </c>
      <c r="O330" s="11" t="s">
        <v>31</v>
      </c>
      <c r="P330" s="9" t="s">
        <v>126</v>
      </c>
      <c r="Q330" s="11"/>
    </row>
    <row r="331" spans="1:17" ht="66" x14ac:dyDescent="0.25">
      <c r="A331" s="13">
        <v>320</v>
      </c>
      <c r="B331" s="16" t="s">
        <v>1362</v>
      </c>
      <c r="C331" s="9"/>
      <c r="D331" s="11" t="str">
        <f t="shared" ca="1" si="8"/>
        <v>0 বছর 5 মাস 24 দিন</v>
      </c>
      <c r="E331" s="11" t="s">
        <v>1363</v>
      </c>
      <c r="F331" s="14">
        <v>30785</v>
      </c>
      <c r="G331" s="17">
        <v>45953</v>
      </c>
      <c r="H331" s="11" t="s">
        <v>1364</v>
      </c>
      <c r="I331" s="11" t="s">
        <v>265</v>
      </c>
      <c r="J331" s="11" t="s">
        <v>1361</v>
      </c>
      <c r="K331" s="11" t="s">
        <v>50</v>
      </c>
      <c r="L331" s="23">
        <v>45967</v>
      </c>
      <c r="M331" s="11"/>
      <c r="N331" s="9" t="s">
        <v>30</v>
      </c>
      <c r="O331" s="11" t="s">
        <v>31</v>
      </c>
      <c r="P331" s="9" t="s">
        <v>1127</v>
      </c>
      <c r="Q331" s="11"/>
    </row>
    <row r="332" spans="1:17" ht="82.5" x14ac:dyDescent="0.25">
      <c r="A332" s="13">
        <v>321</v>
      </c>
      <c r="B332" s="16" t="s">
        <v>1365</v>
      </c>
      <c r="C332" s="9">
        <v>17</v>
      </c>
      <c r="D332" s="11" t="str">
        <f t="shared" ca="1" si="8"/>
        <v>17 বছর 5 মাস 23 দিন</v>
      </c>
      <c r="E332" s="11" t="s">
        <v>1366</v>
      </c>
      <c r="F332" s="14">
        <v>30791</v>
      </c>
      <c r="G332" s="17">
        <v>45954</v>
      </c>
      <c r="H332" s="11" t="s">
        <v>1367</v>
      </c>
      <c r="I332" s="11" t="s">
        <v>432</v>
      </c>
      <c r="J332" s="11" t="s">
        <v>1368</v>
      </c>
      <c r="K332" s="11" t="s">
        <v>50</v>
      </c>
      <c r="L332" s="23">
        <v>46051</v>
      </c>
      <c r="M332" s="11"/>
      <c r="N332" s="9" t="s">
        <v>30</v>
      </c>
      <c r="O332" s="11" t="s">
        <v>100</v>
      </c>
      <c r="P332" s="16" t="s">
        <v>81</v>
      </c>
      <c r="Q332" s="11" t="s">
        <v>82</v>
      </c>
    </row>
    <row r="333" spans="1:17" ht="66" x14ac:dyDescent="0.25">
      <c r="A333" s="13">
        <v>322</v>
      </c>
      <c r="B333" s="16" t="s">
        <v>1369</v>
      </c>
      <c r="C333" s="9">
        <v>16</v>
      </c>
      <c r="D333" s="11" t="str">
        <f t="shared" ca="1" si="8"/>
        <v>16 বছর 5 মাস 23 দিন</v>
      </c>
      <c r="E333" s="11" t="s">
        <v>1370</v>
      </c>
      <c r="F333" s="14">
        <v>30792</v>
      </c>
      <c r="G333" s="17">
        <v>45954</v>
      </c>
      <c r="H333" s="11" t="s">
        <v>1371</v>
      </c>
      <c r="I333" s="11" t="s">
        <v>48</v>
      </c>
      <c r="J333" s="11" t="s">
        <v>1372</v>
      </c>
      <c r="K333" s="11" t="s">
        <v>50</v>
      </c>
      <c r="L333" s="23">
        <v>45960</v>
      </c>
      <c r="M333" s="11"/>
      <c r="N333" s="9" t="s">
        <v>30</v>
      </c>
      <c r="O333" s="11" t="s">
        <v>31</v>
      </c>
      <c r="P333" s="16" t="s">
        <v>158</v>
      </c>
      <c r="Q333" s="11" t="s">
        <v>782</v>
      </c>
    </row>
    <row r="334" spans="1:17" ht="66" x14ac:dyDescent="0.25">
      <c r="A334" s="13">
        <v>323</v>
      </c>
      <c r="B334" s="16" t="s">
        <v>1373</v>
      </c>
      <c r="C334" s="9">
        <v>17</v>
      </c>
      <c r="D334" s="11" t="str">
        <f t="shared" ca="1" si="8"/>
        <v>17 বছর 5 মাস 23 দিন</v>
      </c>
      <c r="E334" s="11" t="s">
        <v>1374</v>
      </c>
      <c r="F334" s="14">
        <v>30793</v>
      </c>
      <c r="G334" s="17">
        <v>45954</v>
      </c>
      <c r="H334" s="11" t="s">
        <v>1371</v>
      </c>
      <c r="I334" s="11" t="s">
        <v>48</v>
      </c>
      <c r="J334" s="11" t="s">
        <v>1372</v>
      </c>
      <c r="K334" s="11" t="s">
        <v>50</v>
      </c>
      <c r="L334" s="23">
        <v>45960</v>
      </c>
      <c r="M334" s="11"/>
      <c r="N334" s="9" t="s">
        <v>30</v>
      </c>
      <c r="O334" s="11" t="s">
        <v>100</v>
      </c>
      <c r="P334" s="16" t="s">
        <v>158</v>
      </c>
      <c r="Q334" s="11" t="s">
        <v>464</v>
      </c>
    </row>
    <row r="335" spans="1:17" ht="82.5" x14ac:dyDescent="0.25">
      <c r="A335" s="13">
        <v>324</v>
      </c>
      <c r="B335" s="16" t="s">
        <v>1375</v>
      </c>
      <c r="C335" s="9">
        <v>16</v>
      </c>
      <c r="D335" s="11" t="str">
        <f t="shared" ca="1" si="8"/>
        <v>16 বছর 5 মাস 23 দিন</v>
      </c>
      <c r="E335" s="11" t="s">
        <v>1374</v>
      </c>
      <c r="F335" s="14">
        <v>30794</v>
      </c>
      <c r="G335" s="17">
        <v>45954</v>
      </c>
      <c r="H335" s="11" t="s">
        <v>1371</v>
      </c>
      <c r="I335" s="11" t="s">
        <v>48</v>
      </c>
      <c r="J335" s="11" t="s">
        <v>1372</v>
      </c>
      <c r="K335" s="11" t="s">
        <v>50</v>
      </c>
      <c r="L335" s="23">
        <v>45960</v>
      </c>
      <c r="M335" s="11"/>
      <c r="N335" s="9" t="s">
        <v>30</v>
      </c>
      <c r="O335" s="11" t="s">
        <v>31</v>
      </c>
      <c r="P335" s="16" t="s">
        <v>1376</v>
      </c>
      <c r="Q335" s="11"/>
    </row>
    <row r="336" spans="1:17" ht="82.5" x14ac:dyDescent="0.25">
      <c r="A336" s="13">
        <v>325</v>
      </c>
      <c r="B336" s="16" t="s">
        <v>1377</v>
      </c>
      <c r="C336" s="9"/>
      <c r="D336" s="11" t="str">
        <f t="shared" ca="1" si="8"/>
        <v>0 বছর 5 মাস 22 দিন</v>
      </c>
      <c r="E336" s="11" t="s">
        <v>1378</v>
      </c>
      <c r="F336" s="14">
        <v>30801</v>
      </c>
      <c r="G336" s="17">
        <v>45955</v>
      </c>
      <c r="H336" s="11" t="s">
        <v>1379</v>
      </c>
      <c r="I336" s="11" t="s">
        <v>27</v>
      </c>
      <c r="J336" s="11" t="s">
        <v>1380</v>
      </c>
      <c r="K336" s="11" t="s">
        <v>50</v>
      </c>
      <c r="L336" s="23">
        <v>45987</v>
      </c>
      <c r="M336" s="11"/>
      <c r="N336" s="9" t="s">
        <v>30</v>
      </c>
      <c r="O336" s="11" t="s">
        <v>31</v>
      </c>
      <c r="P336" s="16" t="s">
        <v>163</v>
      </c>
      <c r="Q336" s="11"/>
    </row>
    <row r="337" spans="1:17" ht="66" x14ac:dyDescent="0.25">
      <c r="A337" s="13">
        <v>326</v>
      </c>
      <c r="B337" s="16" t="s">
        <v>1381</v>
      </c>
      <c r="C337" s="9">
        <v>16</v>
      </c>
      <c r="D337" s="11" t="str">
        <f t="shared" ca="1" si="8"/>
        <v>16 বছর 5 মাস 22 দিন</v>
      </c>
      <c r="E337" s="11" t="s">
        <v>1382</v>
      </c>
      <c r="F337" s="14">
        <v>30803</v>
      </c>
      <c r="G337" s="17">
        <v>45955</v>
      </c>
      <c r="H337" s="11" t="s">
        <v>1383</v>
      </c>
      <c r="I337" s="11" t="s">
        <v>27</v>
      </c>
      <c r="J337" s="11" t="s">
        <v>917</v>
      </c>
      <c r="K337" s="11" t="s">
        <v>50</v>
      </c>
      <c r="L337" s="23">
        <v>45960</v>
      </c>
      <c r="M337" s="11"/>
      <c r="N337" s="9" t="s">
        <v>30</v>
      </c>
      <c r="O337" s="11" t="s">
        <v>31</v>
      </c>
      <c r="P337" s="11" t="s">
        <v>174</v>
      </c>
      <c r="Q337" s="11"/>
    </row>
    <row r="338" spans="1:17" ht="66" x14ac:dyDescent="0.25">
      <c r="A338" s="13">
        <v>327</v>
      </c>
      <c r="B338" s="16" t="s">
        <v>1384</v>
      </c>
      <c r="C338" s="9">
        <v>16</v>
      </c>
      <c r="D338" s="11" t="str">
        <f t="shared" ca="1" si="8"/>
        <v>16 বছর 5 মাস 22 দিন</v>
      </c>
      <c r="E338" s="11" t="s">
        <v>1385</v>
      </c>
      <c r="F338" s="14">
        <v>30804</v>
      </c>
      <c r="G338" s="17">
        <v>45955</v>
      </c>
      <c r="H338" s="11" t="s">
        <v>1386</v>
      </c>
      <c r="I338" s="11" t="s">
        <v>38</v>
      </c>
      <c r="J338" s="11" t="s">
        <v>1380</v>
      </c>
      <c r="K338" s="11" t="s">
        <v>50</v>
      </c>
      <c r="L338" s="23">
        <v>45998</v>
      </c>
      <c r="M338" s="11"/>
      <c r="N338" s="9" t="s">
        <v>30</v>
      </c>
      <c r="O338" s="11" t="s">
        <v>31</v>
      </c>
      <c r="P338" s="9" t="s">
        <v>180</v>
      </c>
      <c r="Q338" s="11"/>
    </row>
    <row r="339" spans="1:17" ht="66" x14ac:dyDescent="0.25">
      <c r="A339" s="13">
        <v>328</v>
      </c>
      <c r="B339" s="16" t="s">
        <v>1387</v>
      </c>
      <c r="C339" s="9">
        <v>16</v>
      </c>
      <c r="D339" s="11" t="str">
        <f t="shared" ca="1" si="8"/>
        <v>16 বছর 5 মাস 22 দিন</v>
      </c>
      <c r="E339" s="11" t="s">
        <v>1388</v>
      </c>
      <c r="F339" s="14">
        <v>30814</v>
      </c>
      <c r="G339" s="17">
        <v>45955</v>
      </c>
      <c r="H339" s="11" t="s">
        <v>1389</v>
      </c>
      <c r="I339" s="11" t="s">
        <v>27</v>
      </c>
      <c r="J339" s="11" t="s">
        <v>1119</v>
      </c>
      <c r="K339" s="11" t="s">
        <v>50</v>
      </c>
      <c r="L339" s="23">
        <v>46001</v>
      </c>
      <c r="M339" s="11"/>
      <c r="N339" s="9" t="s">
        <v>30</v>
      </c>
      <c r="O339" s="11" t="s">
        <v>31</v>
      </c>
      <c r="P339" s="9" t="s">
        <v>186</v>
      </c>
      <c r="Q339" s="11"/>
    </row>
    <row r="340" spans="1:17" ht="66" x14ac:dyDescent="0.25">
      <c r="A340" s="13">
        <v>329</v>
      </c>
      <c r="B340" s="16" t="s">
        <v>1390</v>
      </c>
      <c r="C340" s="9">
        <v>14</v>
      </c>
      <c r="D340" s="11" t="str">
        <f t="shared" ca="1" si="8"/>
        <v>14 বছর 5 মাস 22 দিন</v>
      </c>
      <c r="E340" s="11" t="s">
        <v>1391</v>
      </c>
      <c r="F340" s="14">
        <v>30815</v>
      </c>
      <c r="G340" s="17">
        <v>45955</v>
      </c>
      <c r="H340" s="11" t="s">
        <v>1389</v>
      </c>
      <c r="I340" s="11" t="s">
        <v>27</v>
      </c>
      <c r="J340" s="11" t="s">
        <v>1119</v>
      </c>
      <c r="K340" s="11" t="s">
        <v>50</v>
      </c>
      <c r="L340" s="23">
        <v>46001</v>
      </c>
      <c r="M340" s="11"/>
      <c r="N340" s="9" t="s">
        <v>30</v>
      </c>
      <c r="O340" s="11" t="s">
        <v>31</v>
      </c>
      <c r="P340" s="9" t="s">
        <v>192</v>
      </c>
      <c r="Q340" s="11"/>
    </row>
    <row r="341" spans="1:17" ht="66" x14ac:dyDescent="0.25">
      <c r="A341" s="13">
        <v>330</v>
      </c>
      <c r="B341" s="16" t="s">
        <v>1392</v>
      </c>
      <c r="C341" s="9"/>
      <c r="D341" s="11" t="str">
        <f t="shared" ca="1" si="8"/>
        <v>0 বছর 5 মাস 22 দিন</v>
      </c>
      <c r="E341" s="11" t="s">
        <v>1393</v>
      </c>
      <c r="F341" s="14">
        <v>30816</v>
      </c>
      <c r="G341" s="17">
        <v>45955</v>
      </c>
      <c r="H341" s="11" t="s">
        <v>1394</v>
      </c>
      <c r="I341" s="11" t="s">
        <v>196</v>
      </c>
      <c r="J341" s="11" t="s">
        <v>1395</v>
      </c>
      <c r="K341" s="11" t="s">
        <v>50</v>
      </c>
      <c r="L341" s="23">
        <v>45974</v>
      </c>
      <c r="M341" s="11"/>
      <c r="N341" s="9" t="s">
        <v>30</v>
      </c>
      <c r="O341" s="11" t="s">
        <v>31</v>
      </c>
      <c r="P341" s="11" t="s">
        <v>198</v>
      </c>
      <c r="Q341" s="11"/>
    </row>
    <row r="342" spans="1:17" ht="66" x14ac:dyDescent="0.25">
      <c r="A342" s="13">
        <v>331</v>
      </c>
      <c r="B342" s="16" t="s">
        <v>1396</v>
      </c>
      <c r="C342" s="9">
        <v>16</v>
      </c>
      <c r="D342" s="11" t="str">
        <f t="shared" ca="1" si="8"/>
        <v>16 বছর 5 মাস 21 দিন</v>
      </c>
      <c r="E342" s="11" t="s">
        <v>1397</v>
      </c>
      <c r="F342" s="14">
        <v>30827</v>
      </c>
      <c r="G342" s="17">
        <v>45956</v>
      </c>
      <c r="H342" s="11" t="s">
        <v>1398</v>
      </c>
      <c r="I342" s="11" t="s">
        <v>48</v>
      </c>
      <c r="J342" s="11" t="s">
        <v>1248</v>
      </c>
      <c r="K342" s="11" t="s">
        <v>50</v>
      </c>
      <c r="L342" s="23">
        <v>45981</v>
      </c>
      <c r="M342" s="11"/>
      <c r="N342" s="9" t="s">
        <v>30</v>
      </c>
      <c r="O342" s="11" t="s">
        <v>31</v>
      </c>
      <c r="P342" s="9" t="s">
        <v>223</v>
      </c>
      <c r="Q342" s="11"/>
    </row>
    <row r="343" spans="1:17" ht="66" x14ac:dyDescent="0.25">
      <c r="A343" s="13">
        <v>332</v>
      </c>
      <c r="B343" s="16" t="s">
        <v>1399</v>
      </c>
      <c r="C343" s="9"/>
      <c r="D343" s="11" t="str">
        <f t="shared" ca="1" si="8"/>
        <v>0 বছর 5 মাস 21 দিন</v>
      </c>
      <c r="E343" s="11" t="s">
        <v>1400</v>
      </c>
      <c r="F343" s="14">
        <v>30833</v>
      </c>
      <c r="G343" s="17">
        <v>45956</v>
      </c>
      <c r="H343" s="11" t="s">
        <v>1401</v>
      </c>
      <c r="I343" s="11" t="s">
        <v>202</v>
      </c>
      <c r="J343" s="11" t="s">
        <v>1402</v>
      </c>
      <c r="K343" s="11" t="s">
        <v>50</v>
      </c>
      <c r="L343" s="23">
        <v>45965</v>
      </c>
      <c r="M343" s="11"/>
      <c r="N343" s="9" t="s">
        <v>30</v>
      </c>
      <c r="O343" s="11" t="s">
        <v>31</v>
      </c>
      <c r="P343" s="16" t="s">
        <v>158</v>
      </c>
      <c r="Q343" s="11" t="s">
        <v>288</v>
      </c>
    </row>
    <row r="344" spans="1:17" ht="66" x14ac:dyDescent="0.25">
      <c r="A344" s="13">
        <v>333</v>
      </c>
      <c r="B344" s="16" t="s">
        <v>1403</v>
      </c>
      <c r="C344" s="9">
        <v>17</v>
      </c>
      <c r="D344" s="11" t="str">
        <f t="shared" ca="1" si="8"/>
        <v>17 বছর 5 মাস 19 দিন</v>
      </c>
      <c r="E344" s="11" t="s">
        <v>1404</v>
      </c>
      <c r="F344" s="14">
        <v>30852</v>
      </c>
      <c r="G344" s="17">
        <v>45958</v>
      </c>
      <c r="H344" s="11" t="s">
        <v>1405</v>
      </c>
      <c r="I344" s="11" t="s">
        <v>265</v>
      </c>
      <c r="J344" s="11" t="s">
        <v>1406</v>
      </c>
      <c r="K344" s="11" t="s">
        <v>50</v>
      </c>
      <c r="L344" s="23"/>
      <c r="M344" s="11"/>
      <c r="N344" s="9" t="s">
        <v>30</v>
      </c>
      <c r="O344" s="11" t="s">
        <v>100</v>
      </c>
      <c r="P344" s="11" t="s">
        <v>174</v>
      </c>
      <c r="Q344" s="11"/>
    </row>
    <row r="345" spans="1:17" ht="66" x14ac:dyDescent="0.25">
      <c r="A345" s="13">
        <v>334</v>
      </c>
      <c r="B345" s="16" t="s">
        <v>1407</v>
      </c>
      <c r="C345" s="9">
        <v>16</v>
      </c>
      <c r="D345" s="11" t="str">
        <f t="shared" ca="1" si="8"/>
        <v>16 বছর 5 মাস 18 দিন</v>
      </c>
      <c r="E345" s="11" t="s">
        <v>1408</v>
      </c>
      <c r="F345" s="14">
        <v>30863</v>
      </c>
      <c r="G345" s="17">
        <v>45959</v>
      </c>
      <c r="H345" s="11" t="s">
        <v>1409</v>
      </c>
      <c r="I345" s="11" t="s">
        <v>48</v>
      </c>
      <c r="J345" s="11" t="s">
        <v>1410</v>
      </c>
      <c r="K345" s="11" t="s">
        <v>50</v>
      </c>
      <c r="L345" s="23">
        <v>45985</v>
      </c>
      <c r="M345" s="11"/>
      <c r="N345" s="9" t="s">
        <v>30</v>
      </c>
      <c r="O345" s="11" t="s">
        <v>31</v>
      </c>
      <c r="P345" s="9" t="s">
        <v>88</v>
      </c>
      <c r="Q345" s="11"/>
    </row>
    <row r="346" spans="1:17" ht="66" x14ac:dyDescent="0.25">
      <c r="A346" s="13">
        <v>335</v>
      </c>
      <c r="B346" s="16" t="s">
        <v>1411</v>
      </c>
      <c r="C346" s="9">
        <v>15</v>
      </c>
      <c r="D346" s="11" t="str">
        <f t="shared" ca="1" si="8"/>
        <v>15 বছর 5 মাস 18 দিন</v>
      </c>
      <c r="E346" s="11" t="s">
        <v>1412</v>
      </c>
      <c r="F346" s="14">
        <v>30865</v>
      </c>
      <c r="G346" s="17">
        <v>45959</v>
      </c>
      <c r="H346" s="11" t="s">
        <v>1413</v>
      </c>
      <c r="I346" s="11" t="s">
        <v>265</v>
      </c>
      <c r="J346" s="11" t="s">
        <v>1205</v>
      </c>
      <c r="K346" s="11" t="s">
        <v>50</v>
      </c>
      <c r="L346" s="23">
        <v>45992</v>
      </c>
      <c r="M346" s="11"/>
      <c r="N346" s="9" t="s">
        <v>30</v>
      </c>
      <c r="O346" s="11" t="s">
        <v>31</v>
      </c>
      <c r="P346" s="9" t="s">
        <v>204</v>
      </c>
      <c r="Q346" s="11"/>
    </row>
    <row r="347" spans="1:17" ht="82.5" x14ac:dyDescent="0.25">
      <c r="A347" s="13">
        <v>336</v>
      </c>
      <c r="B347" s="16" t="s">
        <v>1414</v>
      </c>
      <c r="C347" s="9">
        <v>14</v>
      </c>
      <c r="D347" s="11" t="str">
        <f t="shared" ca="1" si="8"/>
        <v>14 বছর 5 মাস 18 দিন</v>
      </c>
      <c r="E347" s="11" t="s">
        <v>1415</v>
      </c>
      <c r="F347" s="14">
        <v>30866</v>
      </c>
      <c r="G347" s="17">
        <v>45959</v>
      </c>
      <c r="H347" s="11" t="s">
        <v>1416</v>
      </c>
      <c r="I347" s="11" t="s">
        <v>48</v>
      </c>
      <c r="J347" s="11" t="s">
        <v>1417</v>
      </c>
      <c r="K347" s="11" t="s">
        <v>50</v>
      </c>
      <c r="L347" s="23">
        <v>45981</v>
      </c>
      <c r="M347" s="11"/>
      <c r="N347" s="9" t="s">
        <v>30</v>
      </c>
      <c r="O347" s="11" t="s">
        <v>31</v>
      </c>
      <c r="P347" s="11" t="s">
        <v>294</v>
      </c>
      <c r="Q347" s="11"/>
    </row>
    <row r="348" spans="1:17" ht="82.5" x14ac:dyDescent="0.25">
      <c r="A348" s="13">
        <v>337</v>
      </c>
      <c r="B348" s="16" t="s">
        <v>1418</v>
      </c>
      <c r="C348" s="9">
        <v>17</v>
      </c>
      <c r="D348" s="11" t="str">
        <f t="shared" ca="1" si="8"/>
        <v>17 বছর 5 মাস 18 দিন</v>
      </c>
      <c r="E348" s="11" t="s">
        <v>1419</v>
      </c>
      <c r="F348" s="14">
        <v>30867</v>
      </c>
      <c r="G348" s="17">
        <v>45959</v>
      </c>
      <c r="H348" s="11" t="s">
        <v>1416</v>
      </c>
      <c r="I348" s="11" t="s">
        <v>48</v>
      </c>
      <c r="J348" s="11" t="s">
        <v>1417</v>
      </c>
      <c r="K348" s="11" t="s">
        <v>50</v>
      </c>
      <c r="L348" s="23">
        <v>45981</v>
      </c>
      <c r="M348" s="11"/>
      <c r="N348" s="9" t="s">
        <v>30</v>
      </c>
      <c r="O348" s="11" t="s">
        <v>110</v>
      </c>
      <c r="P348" s="11" t="s">
        <v>294</v>
      </c>
      <c r="Q348" s="11"/>
    </row>
    <row r="349" spans="1:17" ht="82.5" x14ac:dyDescent="0.25">
      <c r="A349" s="13">
        <v>338</v>
      </c>
      <c r="B349" s="16" t="s">
        <v>1420</v>
      </c>
      <c r="C349" s="9">
        <v>16</v>
      </c>
      <c r="D349" s="11" t="str">
        <f t="shared" ca="1" si="8"/>
        <v>16 বছর 5 মাস 18 দিন</v>
      </c>
      <c r="E349" s="11" t="s">
        <v>1419</v>
      </c>
      <c r="F349" s="14">
        <v>30868</v>
      </c>
      <c r="G349" s="17">
        <v>45959</v>
      </c>
      <c r="H349" s="11" t="s">
        <v>1416</v>
      </c>
      <c r="I349" s="11" t="s">
        <v>48</v>
      </c>
      <c r="J349" s="11" t="s">
        <v>1417</v>
      </c>
      <c r="K349" s="11" t="s">
        <v>50</v>
      </c>
      <c r="L349" s="23">
        <v>45981</v>
      </c>
      <c r="M349" s="11"/>
      <c r="N349" s="9" t="s">
        <v>30</v>
      </c>
      <c r="O349" s="11" t="s">
        <v>31</v>
      </c>
      <c r="P349" s="11" t="s">
        <v>1201</v>
      </c>
      <c r="Q349" s="11"/>
    </row>
    <row r="350" spans="1:17" ht="82.5" x14ac:dyDescent="0.25">
      <c r="A350" s="13">
        <v>339</v>
      </c>
      <c r="B350" s="16" t="s">
        <v>1421</v>
      </c>
      <c r="C350" s="9">
        <v>17</v>
      </c>
      <c r="D350" s="11" t="str">
        <f t="shared" ca="1" si="8"/>
        <v>17 বছর 5 মাস 18 দিন</v>
      </c>
      <c r="E350" s="11" t="s">
        <v>1419</v>
      </c>
      <c r="F350" s="14">
        <v>30869</v>
      </c>
      <c r="G350" s="17">
        <v>45959</v>
      </c>
      <c r="H350" s="11" t="s">
        <v>1416</v>
      </c>
      <c r="I350" s="11" t="s">
        <v>48</v>
      </c>
      <c r="J350" s="11" t="s">
        <v>1417</v>
      </c>
      <c r="K350" s="11" t="s">
        <v>50</v>
      </c>
      <c r="L350" s="23">
        <v>45981</v>
      </c>
      <c r="M350" s="11"/>
      <c r="N350" s="9" t="s">
        <v>30</v>
      </c>
      <c r="O350" s="11" t="s">
        <v>110</v>
      </c>
      <c r="P350" s="9" t="s">
        <v>101</v>
      </c>
      <c r="Q350" s="11"/>
    </row>
    <row r="351" spans="1:17" ht="82.5" x14ac:dyDescent="0.25">
      <c r="A351" s="13">
        <v>340</v>
      </c>
      <c r="B351" s="16" t="s">
        <v>1422</v>
      </c>
      <c r="C351" s="9">
        <v>17</v>
      </c>
      <c r="D351" s="11" t="str">
        <f t="shared" ca="1" si="8"/>
        <v>17 বছর 5 মাস 18 দিন</v>
      </c>
      <c r="E351" s="11" t="s">
        <v>1419</v>
      </c>
      <c r="F351" s="14">
        <v>30870</v>
      </c>
      <c r="G351" s="17">
        <v>45959</v>
      </c>
      <c r="H351" s="11" t="s">
        <v>1416</v>
      </c>
      <c r="I351" s="11" t="s">
        <v>48</v>
      </c>
      <c r="J351" s="11" t="s">
        <v>1417</v>
      </c>
      <c r="K351" s="11" t="s">
        <v>50</v>
      </c>
      <c r="L351" s="23">
        <v>45981</v>
      </c>
      <c r="M351" s="11"/>
      <c r="N351" s="9" t="s">
        <v>30</v>
      </c>
      <c r="O351" s="11" t="s">
        <v>110</v>
      </c>
      <c r="P351" s="9" t="s">
        <v>309</v>
      </c>
      <c r="Q351" s="11"/>
    </row>
    <row r="352" spans="1:17" ht="82.5" x14ac:dyDescent="0.25">
      <c r="A352" s="13">
        <v>341</v>
      </c>
      <c r="B352" s="16" t="s">
        <v>1423</v>
      </c>
      <c r="C352" s="9">
        <v>17</v>
      </c>
      <c r="D352" s="11" t="str">
        <f t="shared" ca="1" si="8"/>
        <v>17 বছর 5 মাস 18 দিন</v>
      </c>
      <c r="E352" s="11" t="s">
        <v>1419</v>
      </c>
      <c r="F352" s="14">
        <v>30871</v>
      </c>
      <c r="G352" s="17">
        <v>45959</v>
      </c>
      <c r="H352" s="11" t="s">
        <v>1416</v>
      </c>
      <c r="I352" s="11" t="s">
        <v>48</v>
      </c>
      <c r="J352" s="11" t="s">
        <v>1417</v>
      </c>
      <c r="K352" s="11" t="s">
        <v>50</v>
      </c>
      <c r="L352" s="23">
        <v>45981</v>
      </c>
      <c r="M352" s="11"/>
      <c r="N352" s="9" t="s">
        <v>30</v>
      </c>
      <c r="O352" s="11" t="s">
        <v>110</v>
      </c>
      <c r="P352" s="11" t="s">
        <v>314</v>
      </c>
      <c r="Q352" s="11"/>
    </row>
    <row r="353" spans="1:17" ht="82.5" x14ac:dyDescent="0.25">
      <c r="A353" s="13">
        <v>342</v>
      </c>
      <c r="B353" s="16" t="s">
        <v>1424</v>
      </c>
      <c r="C353" s="9">
        <v>17</v>
      </c>
      <c r="D353" s="11" t="str">
        <f t="shared" ca="1" si="8"/>
        <v>17 বছর 5 মাস 17 দিন</v>
      </c>
      <c r="E353" s="11" t="s">
        <v>1419</v>
      </c>
      <c r="F353" s="14">
        <v>30872</v>
      </c>
      <c r="G353" s="17">
        <v>45960</v>
      </c>
      <c r="H353" s="11" t="s">
        <v>1416</v>
      </c>
      <c r="I353" s="11" t="s">
        <v>48</v>
      </c>
      <c r="J353" s="11" t="s">
        <v>1417</v>
      </c>
      <c r="K353" s="11" t="s">
        <v>50</v>
      </c>
      <c r="L353" s="23">
        <v>45981</v>
      </c>
      <c r="M353" s="11"/>
      <c r="N353" s="9" t="s">
        <v>30</v>
      </c>
      <c r="O353" s="11" t="s">
        <v>100</v>
      </c>
      <c r="P353" s="9" t="s">
        <v>319</v>
      </c>
      <c r="Q353" s="11"/>
    </row>
    <row r="354" spans="1:17" ht="66" x14ac:dyDescent="0.25">
      <c r="A354" s="13">
        <v>343</v>
      </c>
      <c r="B354" s="16" t="s">
        <v>1425</v>
      </c>
      <c r="C354" s="9">
        <v>15</v>
      </c>
      <c r="D354" s="11" t="str">
        <f t="shared" ca="1" si="8"/>
        <v>15 বছর 5 মাস 17 দিন</v>
      </c>
      <c r="E354" s="11" t="s">
        <v>1426</v>
      </c>
      <c r="F354" s="14">
        <v>30875</v>
      </c>
      <c r="G354" s="17">
        <v>45960</v>
      </c>
      <c r="H354" s="11" t="s">
        <v>1427</v>
      </c>
      <c r="I354" s="11" t="s">
        <v>265</v>
      </c>
      <c r="J354" s="11" t="s">
        <v>1209</v>
      </c>
      <c r="K354" s="11" t="s">
        <v>50</v>
      </c>
      <c r="L354" s="23">
        <v>45970</v>
      </c>
      <c r="M354" s="11"/>
      <c r="N354" s="9" t="s">
        <v>30</v>
      </c>
      <c r="O354" s="11" t="s">
        <v>31</v>
      </c>
      <c r="P354" s="9" t="s">
        <v>1217</v>
      </c>
      <c r="Q354" s="11"/>
    </row>
    <row r="355" spans="1:17" ht="66" x14ac:dyDescent="0.25">
      <c r="A355" s="13">
        <v>344</v>
      </c>
      <c r="B355" s="16" t="s">
        <v>1428</v>
      </c>
      <c r="C355" s="9"/>
      <c r="D355" s="11" t="str">
        <f t="shared" ca="1" si="8"/>
        <v>0 বছর 5 মাস 16 দিন</v>
      </c>
      <c r="E355" s="11" t="s">
        <v>1429</v>
      </c>
      <c r="F355" s="14">
        <v>30881</v>
      </c>
      <c r="G355" s="17">
        <v>45961</v>
      </c>
      <c r="H355" s="11" t="s">
        <v>1430</v>
      </c>
      <c r="I355" s="11" t="s">
        <v>48</v>
      </c>
      <c r="J355" s="11" t="s">
        <v>1431</v>
      </c>
      <c r="K355" s="11" t="s">
        <v>50</v>
      </c>
      <c r="L355" s="23">
        <v>45988</v>
      </c>
      <c r="M355" s="11"/>
      <c r="N355" s="9" t="s">
        <v>30</v>
      </c>
      <c r="O355" s="11" t="s">
        <v>31</v>
      </c>
      <c r="P355" s="9" t="s">
        <v>101</v>
      </c>
      <c r="Q355" s="11"/>
    </row>
    <row r="356" spans="1:17" ht="66" x14ac:dyDescent="0.25">
      <c r="A356" s="13">
        <v>345</v>
      </c>
      <c r="B356" s="16" t="s">
        <v>1432</v>
      </c>
      <c r="C356" s="9"/>
      <c r="D356" s="11" t="str">
        <f t="shared" ca="1" si="8"/>
        <v>0 বছর 5 মাস 16 দিন</v>
      </c>
      <c r="E356" s="11" t="s">
        <v>1433</v>
      </c>
      <c r="F356" s="14">
        <v>30884</v>
      </c>
      <c r="G356" s="17">
        <v>45961</v>
      </c>
      <c r="H356" s="11" t="s">
        <v>1434</v>
      </c>
      <c r="I356" s="11" t="s">
        <v>265</v>
      </c>
      <c r="J356" s="11" t="s">
        <v>1435</v>
      </c>
      <c r="K356" s="11" t="s">
        <v>50</v>
      </c>
      <c r="L356" s="23">
        <v>45981</v>
      </c>
      <c r="M356" s="11"/>
      <c r="N356" s="9" t="s">
        <v>30</v>
      </c>
      <c r="O356" s="11" t="s">
        <v>31</v>
      </c>
      <c r="P356" s="11" t="s">
        <v>350</v>
      </c>
      <c r="Q356" s="11"/>
    </row>
    <row r="357" spans="1:17" ht="66" x14ac:dyDescent="0.25">
      <c r="A357" s="13">
        <v>346</v>
      </c>
      <c r="B357" s="16" t="s">
        <v>1436</v>
      </c>
      <c r="C357" s="9">
        <v>17</v>
      </c>
      <c r="D357" s="11" t="str">
        <f t="shared" ca="1" si="8"/>
        <v>17 বছর 5 মাস 16 দিন</v>
      </c>
      <c r="E357" s="11" t="s">
        <v>1437</v>
      </c>
      <c r="F357" s="14">
        <v>30887</v>
      </c>
      <c r="G357" s="17">
        <v>45961</v>
      </c>
      <c r="H357" s="11" t="s">
        <v>1438</v>
      </c>
      <c r="I357" s="11" t="s">
        <v>964</v>
      </c>
      <c r="J357" s="11" t="s">
        <v>1200</v>
      </c>
      <c r="K357" s="11" t="s">
        <v>50</v>
      </c>
      <c r="L357" s="23">
        <v>46001</v>
      </c>
      <c r="M357" s="11"/>
      <c r="N357" s="9" t="s">
        <v>30</v>
      </c>
      <c r="O357" s="11" t="s">
        <v>100</v>
      </c>
      <c r="P357" s="9" t="s">
        <v>356</v>
      </c>
      <c r="Q357" s="11"/>
    </row>
    <row r="358" spans="1:17" ht="66" x14ac:dyDescent="0.25">
      <c r="A358" s="13">
        <v>347</v>
      </c>
      <c r="B358" s="16" t="s">
        <v>1439</v>
      </c>
      <c r="C358" s="9">
        <v>16</v>
      </c>
      <c r="D358" s="9" t="str">
        <f t="shared" ca="1" si="8"/>
        <v>16 বছর 5 মাস 15 দিন</v>
      </c>
      <c r="E358" s="11" t="s">
        <v>1440</v>
      </c>
      <c r="F358" s="14">
        <v>30890</v>
      </c>
      <c r="G358" s="17">
        <v>45962</v>
      </c>
      <c r="H358" s="11" t="s">
        <v>1441</v>
      </c>
      <c r="I358" s="11" t="s">
        <v>843</v>
      </c>
      <c r="J358" s="11" t="s">
        <v>1063</v>
      </c>
      <c r="K358" s="11" t="s">
        <v>50</v>
      </c>
      <c r="L358" s="23">
        <v>45965</v>
      </c>
      <c r="M358" s="11"/>
      <c r="N358" s="9" t="s">
        <v>30</v>
      </c>
      <c r="O358" s="11" t="s">
        <v>31</v>
      </c>
      <c r="P358" s="16" t="s">
        <v>158</v>
      </c>
      <c r="Q358" s="11" t="s">
        <v>464</v>
      </c>
    </row>
    <row r="359" spans="1:17" ht="66" x14ac:dyDescent="0.25">
      <c r="A359" s="13">
        <v>348</v>
      </c>
      <c r="B359" s="16" t="s">
        <v>1442</v>
      </c>
      <c r="C359" s="9"/>
      <c r="D359" s="9" t="str">
        <f t="shared" ca="1" si="8"/>
        <v>0 বছর 5 মাস 14 দিন</v>
      </c>
      <c r="E359" s="11" t="s">
        <v>1443</v>
      </c>
      <c r="F359" s="14">
        <v>30892</v>
      </c>
      <c r="G359" s="17">
        <v>45963</v>
      </c>
      <c r="H359" s="11" t="s">
        <v>1444</v>
      </c>
      <c r="I359" s="11" t="s">
        <v>843</v>
      </c>
      <c r="J359" s="11" t="s">
        <v>951</v>
      </c>
      <c r="K359" s="11" t="s">
        <v>50</v>
      </c>
      <c r="L359" s="23" t="s">
        <v>1445</v>
      </c>
      <c r="M359" s="11"/>
      <c r="N359" s="9" t="s">
        <v>30</v>
      </c>
      <c r="O359" s="11" t="s">
        <v>31</v>
      </c>
      <c r="P359" s="9" t="s">
        <v>373</v>
      </c>
      <c r="Q359" s="11"/>
    </row>
    <row r="360" spans="1:17" ht="66" x14ac:dyDescent="0.25">
      <c r="A360" s="13">
        <v>349</v>
      </c>
      <c r="B360" s="16" t="s">
        <v>1446</v>
      </c>
      <c r="C360" s="9">
        <v>17</v>
      </c>
      <c r="D360" s="9" t="str">
        <f t="shared" ca="1" si="8"/>
        <v>17 বছর 5 মাস 14 দিন</v>
      </c>
      <c r="E360" s="11" t="s">
        <v>1447</v>
      </c>
      <c r="F360" s="14">
        <v>30893</v>
      </c>
      <c r="G360" s="17">
        <v>45963</v>
      </c>
      <c r="H360" s="11" t="s">
        <v>1448</v>
      </c>
      <c r="I360" s="11" t="s">
        <v>843</v>
      </c>
      <c r="J360" s="11" t="s">
        <v>1449</v>
      </c>
      <c r="K360" s="11" t="s">
        <v>50</v>
      </c>
      <c r="L360" s="23">
        <v>45995</v>
      </c>
      <c r="M360" s="11"/>
      <c r="N360" s="9" t="s">
        <v>30</v>
      </c>
      <c r="O360" s="11" t="s">
        <v>100</v>
      </c>
      <c r="P360" s="9" t="s">
        <v>377</v>
      </c>
      <c r="Q360" s="11"/>
    </row>
    <row r="361" spans="1:17" ht="66" x14ac:dyDescent="0.25">
      <c r="A361" s="13">
        <v>350</v>
      </c>
      <c r="B361" s="16" t="s">
        <v>1450</v>
      </c>
      <c r="C361" s="9">
        <v>16</v>
      </c>
      <c r="D361" s="9" t="str">
        <f t="shared" ca="1" si="8"/>
        <v>16 বছর 5 মাস 14 দিন</v>
      </c>
      <c r="E361" s="11" t="s">
        <v>1451</v>
      </c>
      <c r="F361" s="14">
        <v>30897</v>
      </c>
      <c r="G361" s="17">
        <v>45963</v>
      </c>
      <c r="H361" s="11" t="s">
        <v>1452</v>
      </c>
      <c r="I361" s="11" t="s">
        <v>27</v>
      </c>
      <c r="J361" s="11" t="s">
        <v>1453</v>
      </c>
      <c r="K361" s="11" t="s">
        <v>50</v>
      </c>
      <c r="L361" s="23">
        <v>46009</v>
      </c>
      <c r="M361" s="11"/>
      <c r="N361" s="9" t="s">
        <v>30</v>
      </c>
      <c r="O361" s="11" t="s">
        <v>31</v>
      </c>
      <c r="P361" s="9" t="s">
        <v>391</v>
      </c>
      <c r="Q361" s="11"/>
    </row>
    <row r="362" spans="1:17" ht="66" x14ac:dyDescent="0.25">
      <c r="A362" s="13">
        <v>351</v>
      </c>
      <c r="B362" s="16" t="s">
        <v>1454</v>
      </c>
      <c r="C362" s="9">
        <v>16</v>
      </c>
      <c r="D362" s="9" t="str">
        <f t="shared" ca="1" si="8"/>
        <v>16 বছর 5 মাস 13 দিন</v>
      </c>
      <c r="E362" s="11" t="s">
        <v>1455</v>
      </c>
      <c r="F362" s="14">
        <v>30899</v>
      </c>
      <c r="G362" s="17">
        <v>45964</v>
      </c>
      <c r="H362" s="11" t="s">
        <v>1456</v>
      </c>
      <c r="I362" s="11" t="s">
        <v>27</v>
      </c>
      <c r="J362" s="11" t="s">
        <v>1063</v>
      </c>
      <c r="K362" s="11" t="s">
        <v>50</v>
      </c>
      <c r="L362" s="23"/>
      <c r="M362" s="11"/>
      <c r="N362" s="9" t="s">
        <v>30</v>
      </c>
      <c r="O362" s="11" t="s">
        <v>31</v>
      </c>
      <c r="P362" s="9" t="s">
        <v>1457</v>
      </c>
      <c r="Q362" s="11"/>
    </row>
    <row r="363" spans="1:17" ht="66" x14ac:dyDescent="0.25">
      <c r="A363" s="13">
        <v>352</v>
      </c>
      <c r="B363" s="16" t="s">
        <v>1458</v>
      </c>
      <c r="C363" s="9">
        <v>17</v>
      </c>
      <c r="D363" s="9" t="str">
        <f t="shared" ca="1" si="8"/>
        <v>17 বছর 5 মাস 13 দিন</v>
      </c>
      <c r="E363" s="11" t="s">
        <v>1459</v>
      </c>
      <c r="F363" s="14">
        <v>30901</v>
      </c>
      <c r="G363" s="17">
        <v>45964</v>
      </c>
      <c r="H363" s="11" t="s">
        <v>1460</v>
      </c>
      <c r="I363" s="11" t="s">
        <v>265</v>
      </c>
      <c r="J363" s="11" t="s">
        <v>1461</v>
      </c>
      <c r="K363" s="11" t="s">
        <v>50</v>
      </c>
      <c r="L363" s="23">
        <v>46001</v>
      </c>
      <c r="M363" s="11"/>
      <c r="N363" s="9" t="s">
        <v>30</v>
      </c>
      <c r="O363" s="11" t="s">
        <v>100</v>
      </c>
      <c r="P363" s="9" t="s">
        <v>120</v>
      </c>
      <c r="Q363" s="11"/>
    </row>
    <row r="364" spans="1:17" ht="82.5" x14ac:dyDescent="0.25">
      <c r="A364" s="13">
        <v>353</v>
      </c>
      <c r="B364" s="16" t="s">
        <v>1462</v>
      </c>
      <c r="C364" s="9">
        <v>14</v>
      </c>
      <c r="D364" s="9" t="str">
        <f t="shared" ca="1" si="8"/>
        <v>14 বছর 5 মাস 13 দিন</v>
      </c>
      <c r="E364" s="11" t="s">
        <v>1463</v>
      </c>
      <c r="F364" s="14">
        <v>30906</v>
      </c>
      <c r="G364" s="17">
        <v>45964</v>
      </c>
      <c r="H364" s="11" t="s">
        <v>1464</v>
      </c>
      <c r="I364" s="11" t="s">
        <v>27</v>
      </c>
      <c r="J364" s="11" t="s">
        <v>1465</v>
      </c>
      <c r="K364" s="11" t="s">
        <v>50</v>
      </c>
      <c r="L364" s="23">
        <v>45987</v>
      </c>
      <c r="M364" s="11"/>
      <c r="N364" s="9" t="s">
        <v>30</v>
      </c>
      <c r="O364" s="11" t="s">
        <v>31</v>
      </c>
      <c r="P364" s="9" t="s">
        <v>417</v>
      </c>
      <c r="Q364" s="11"/>
    </row>
    <row r="365" spans="1:17" ht="82.5" customHeight="1" x14ac:dyDescent="0.25">
      <c r="A365" s="13">
        <v>354</v>
      </c>
      <c r="B365" s="16" t="s">
        <v>1466</v>
      </c>
      <c r="C365" s="9">
        <v>16</v>
      </c>
      <c r="D365" s="9" t="str">
        <f t="shared" ca="1" si="8"/>
        <v>16 বছর 5 মাস 13 দিন</v>
      </c>
      <c r="E365" s="11" t="s">
        <v>1467</v>
      </c>
      <c r="F365" s="14">
        <v>30907</v>
      </c>
      <c r="G365" s="17">
        <v>45964</v>
      </c>
      <c r="H365" s="11" t="s">
        <v>1468</v>
      </c>
      <c r="I365" s="11" t="s">
        <v>27</v>
      </c>
      <c r="J365" s="11" t="s">
        <v>1469</v>
      </c>
      <c r="K365" s="11" t="s">
        <v>50</v>
      </c>
      <c r="L365" s="23">
        <v>45988</v>
      </c>
      <c r="M365" s="11"/>
      <c r="N365" s="9" t="s">
        <v>30</v>
      </c>
      <c r="O365" s="11" t="s">
        <v>31</v>
      </c>
      <c r="P365" s="16" t="s">
        <v>158</v>
      </c>
      <c r="Q365" s="11" t="s">
        <v>1025</v>
      </c>
    </row>
    <row r="366" spans="1:17" ht="66" x14ac:dyDescent="0.25">
      <c r="A366" s="13">
        <v>355</v>
      </c>
      <c r="B366" s="16" t="s">
        <v>1470</v>
      </c>
      <c r="C366" s="9">
        <v>14</v>
      </c>
      <c r="D366" s="9" t="str">
        <f t="shared" ca="1" si="8"/>
        <v>14 বছর 5 মাস 12 দিন</v>
      </c>
      <c r="E366" s="11" t="s">
        <v>1471</v>
      </c>
      <c r="F366" s="14">
        <v>30912</v>
      </c>
      <c r="G366" s="17">
        <v>45965</v>
      </c>
      <c r="H366" s="11" t="s">
        <v>1472</v>
      </c>
      <c r="I366" s="11" t="s">
        <v>48</v>
      </c>
      <c r="J366" s="11" t="s">
        <v>1063</v>
      </c>
      <c r="K366" s="11" t="s">
        <v>50</v>
      </c>
      <c r="L366" s="23">
        <v>46005</v>
      </c>
      <c r="M366" s="11"/>
      <c r="N366" s="9" t="s">
        <v>30</v>
      </c>
      <c r="O366" s="11" t="s">
        <v>31</v>
      </c>
      <c r="P366" s="9" t="s">
        <v>94</v>
      </c>
      <c r="Q366" s="11"/>
    </row>
    <row r="367" spans="1:17" ht="66" x14ac:dyDescent="0.25">
      <c r="A367" s="13">
        <v>356</v>
      </c>
      <c r="B367" s="16" t="s">
        <v>1473</v>
      </c>
      <c r="C367" s="9">
        <v>16</v>
      </c>
      <c r="D367" s="9" t="str">
        <f t="shared" ca="1" si="8"/>
        <v>16 বছর 5 মাস 12 দিন</v>
      </c>
      <c r="E367" s="11" t="s">
        <v>1474</v>
      </c>
      <c r="F367" s="14">
        <v>30913</v>
      </c>
      <c r="G367" s="17">
        <v>45965</v>
      </c>
      <c r="H367" s="11" t="s">
        <v>1475</v>
      </c>
      <c r="I367" s="11" t="s">
        <v>202</v>
      </c>
      <c r="J367" s="11" t="s">
        <v>1465</v>
      </c>
      <c r="K367" s="11" t="s">
        <v>50</v>
      </c>
      <c r="L367" s="23">
        <v>46025</v>
      </c>
      <c r="M367" s="11"/>
      <c r="N367" s="9" t="s">
        <v>30</v>
      </c>
      <c r="O367" s="11" t="s">
        <v>31</v>
      </c>
      <c r="P367" s="9" t="s">
        <v>373</v>
      </c>
      <c r="Q367" s="11"/>
    </row>
    <row r="368" spans="1:17" ht="66" x14ac:dyDescent="0.25">
      <c r="A368" s="13">
        <v>357</v>
      </c>
      <c r="B368" s="16" t="s">
        <v>1476</v>
      </c>
      <c r="C368" s="9">
        <v>12</v>
      </c>
      <c r="D368" s="9" t="str">
        <f t="shared" ca="1" si="8"/>
        <v>12 বছর 5 মাস 12 দিন</v>
      </c>
      <c r="E368" s="11" t="s">
        <v>1477</v>
      </c>
      <c r="F368" s="14">
        <v>30915</v>
      </c>
      <c r="G368" s="17">
        <v>45965</v>
      </c>
      <c r="H368" s="11" t="s">
        <v>1478</v>
      </c>
      <c r="I368" s="11" t="s">
        <v>27</v>
      </c>
      <c r="J368" s="11" t="s">
        <v>1479</v>
      </c>
      <c r="K368" s="11" t="s">
        <v>50</v>
      </c>
      <c r="L368" s="23">
        <v>46020</v>
      </c>
      <c r="M368" s="11"/>
      <c r="N368" s="9" t="s">
        <v>30</v>
      </c>
      <c r="O368" s="11" t="s">
        <v>31</v>
      </c>
      <c r="P368" s="9" t="s">
        <v>441</v>
      </c>
      <c r="Q368" s="11"/>
    </row>
    <row r="369" spans="1:17" ht="66" x14ac:dyDescent="0.25">
      <c r="A369" s="13">
        <v>358</v>
      </c>
      <c r="B369" s="16" t="s">
        <v>1480</v>
      </c>
      <c r="C369" s="9">
        <v>13</v>
      </c>
      <c r="D369" s="9" t="str">
        <f t="shared" ca="1" si="8"/>
        <v>13 বছর 5 মাস 12 দিন</v>
      </c>
      <c r="E369" s="11" t="s">
        <v>1481</v>
      </c>
      <c r="F369" s="14">
        <v>30916</v>
      </c>
      <c r="G369" s="17">
        <v>45965</v>
      </c>
      <c r="H369" s="11" t="s">
        <v>1482</v>
      </c>
      <c r="I369" s="11" t="s">
        <v>27</v>
      </c>
      <c r="J369" s="11" t="s">
        <v>1479</v>
      </c>
      <c r="K369" s="11" t="s">
        <v>50</v>
      </c>
      <c r="L369" s="23">
        <v>45999</v>
      </c>
      <c r="M369" s="11"/>
      <c r="N369" s="9" t="s">
        <v>30</v>
      </c>
      <c r="O369" s="11" t="s">
        <v>31</v>
      </c>
      <c r="P369" s="11" t="s">
        <v>240</v>
      </c>
      <c r="Q369" s="11"/>
    </row>
    <row r="370" spans="1:17" ht="66" x14ac:dyDescent="0.25">
      <c r="A370" s="13">
        <v>359</v>
      </c>
      <c r="B370" s="16" t="s">
        <v>1483</v>
      </c>
      <c r="C370" s="9">
        <v>14</v>
      </c>
      <c r="D370" s="9" t="str">
        <f t="shared" ca="1" si="8"/>
        <v>14 বছর 5 মাস 12 দিন</v>
      </c>
      <c r="E370" s="11" t="s">
        <v>1484</v>
      </c>
      <c r="F370" s="14">
        <v>30917</v>
      </c>
      <c r="G370" s="17">
        <v>45965</v>
      </c>
      <c r="H370" s="11" t="s">
        <v>1482</v>
      </c>
      <c r="I370" s="11" t="s">
        <v>27</v>
      </c>
      <c r="J370" s="11" t="s">
        <v>1479</v>
      </c>
      <c r="K370" s="11" t="s">
        <v>50</v>
      </c>
      <c r="L370" s="23">
        <v>45999</v>
      </c>
      <c r="M370" s="11"/>
      <c r="N370" s="9" t="s">
        <v>30</v>
      </c>
      <c r="O370" s="11" t="s">
        <v>31</v>
      </c>
      <c r="P370" s="9" t="s">
        <v>180</v>
      </c>
      <c r="Q370" s="11"/>
    </row>
    <row r="371" spans="1:17" ht="66" x14ac:dyDescent="0.25">
      <c r="A371" s="13">
        <v>360</v>
      </c>
      <c r="B371" s="16" t="s">
        <v>1485</v>
      </c>
      <c r="C371" s="9">
        <v>13</v>
      </c>
      <c r="D371" s="9" t="str">
        <f t="shared" ca="1" si="8"/>
        <v>13 বছর 5 মাস 12 দিন</v>
      </c>
      <c r="E371" s="11" t="s">
        <v>1486</v>
      </c>
      <c r="F371" s="14">
        <v>30918</v>
      </c>
      <c r="G371" s="17">
        <v>45965</v>
      </c>
      <c r="H371" s="11" t="s">
        <v>1482</v>
      </c>
      <c r="I371" s="11" t="s">
        <v>27</v>
      </c>
      <c r="J371" s="11" t="s">
        <v>1479</v>
      </c>
      <c r="K371" s="11" t="s">
        <v>50</v>
      </c>
      <c r="L371" s="23">
        <v>45999</v>
      </c>
      <c r="M371" s="11"/>
      <c r="N371" s="9" t="s">
        <v>30</v>
      </c>
      <c r="O371" s="11" t="s">
        <v>31</v>
      </c>
      <c r="P371" s="9" t="s">
        <v>94</v>
      </c>
      <c r="Q371" s="11"/>
    </row>
    <row r="372" spans="1:17" ht="66" x14ac:dyDescent="0.25">
      <c r="A372" s="13">
        <v>361</v>
      </c>
      <c r="B372" s="16" t="s">
        <v>1487</v>
      </c>
      <c r="C372" s="9">
        <v>17</v>
      </c>
      <c r="D372" s="9" t="str">
        <f t="shared" ca="1" si="8"/>
        <v>17 বছর 5 মাস 11 দিন</v>
      </c>
      <c r="E372" s="11" t="s">
        <v>1488</v>
      </c>
      <c r="F372" s="14">
        <v>30926</v>
      </c>
      <c r="G372" s="17">
        <v>45966</v>
      </c>
      <c r="H372" s="11" t="s">
        <v>1489</v>
      </c>
      <c r="I372" s="11" t="s">
        <v>265</v>
      </c>
      <c r="J372" s="11" t="s">
        <v>1043</v>
      </c>
      <c r="K372" s="11" t="s">
        <v>50</v>
      </c>
      <c r="L372" s="23">
        <v>46058</v>
      </c>
      <c r="M372" s="11"/>
      <c r="N372" s="9" t="s">
        <v>30</v>
      </c>
      <c r="O372" s="11" t="s">
        <v>100</v>
      </c>
      <c r="P372" s="9" t="s">
        <v>473</v>
      </c>
      <c r="Q372" s="11"/>
    </row>
    <row r="373" spans="1:17" ht="66" x14ac:dyDescent="0.25">
      <c r="A373" s="13">
        <v>362</v>
      </c>
      <c r="B373" s="16" t="s">
        <v>1490</v>
      </c>
      <c r="C373" s="9">
        <v>16</v>
      </c>
      <c r="D373" s="9" t="str">
        <f t="shared" ca="1" si="8"/>
        <v>16 বছর 5 মাস 11 দিন</v>
      </c>
      <c r="E373" s="11" t="s">
        <v>1491</v>
      </c>
      <c r="F373" s="14">
        <v>30928</v>
      </c>
      <c r="G373" s="17">
        <v>45966</v>
      </c>
      <c r="H373" s="11" t="s">
        <v>1492</v>
      </c>
      <c r="I373" s="11" t="s">
        <v>432</v>
      </c>
      <c r="J373" s="11" t="s">
        <v>1343</v>
      </c>
      <c r="K373" s="11" t="s">
        <v>50</v>
      </c>
      <c r="L373" s="23">
        <v>45980</v>
      </c>
      <c r="M373" s="11"/>
      <c r="N373" s="9" t="s">
        <v>30</v>
      </c>
      <c r="O373" s="11" t="s">
        <v>31</v>
      </c>
      <c r="P373" s="9" t="s">
        <v>478</v>
      </c>
      <c r="Q373" s="11"/>
    </row>
    <row r="374" spans="1:17" ht="66" x14ac:dyDescent="0.25">
      <c r="A374" s="13">
        <v>363</v>
      </c>
      <c r="B374" s="16" t="s">
        <v>1493</v>
      </c>
      <c r="C374" s="9">
        <v>17</v>
      </c>
      <c r="D374" s="9" t="str">
        <f t="shared" ca="1" si="8"/>
        <v>17 বছর 5 মাস 10 দিন</v>
      </c>
      <c r="E374" s="11" t="s">
        <v>1494</v>
      </c>
      <c r="F374" s="14">
        <v>30929</v>
      </c>
      <c r="G374" s="17">
        <v>45967</v>
      </c>
      <c r="H374" s="11" t="s">
        <v>1495</v>
      </c>
      <c r="I374" s="11" t="s">
        <v>27</v>
      </c>
      <c r="J374" s="11" t="s">
        <v>1063</v>
      </c>
      <c r="K374" s="11" t="s">
        <v>50</v>
      </c>
      <c r="L374" s="23">
        <v>46008</v>
      </c>
      <c r="M374" s="11"/>
      <c r="N374" s="9" t="s">
        <v>30</v>
      </c>
      <c r="O374" s="11" t="s">
        <v>110</v>
      </c>
      <c r="P374" s="16" t="s">
        <v>158</v>
      </c>
      <c r="Q374" s="11" t="s">
        <v>960</v>
      </c>
    </row>
    <row r="375" spans="1:17" ht="66" x14ac:dyDescent="0.25">
      <c r="A375" s="13">
        <v>364</v>
      </c>
      <c r="B375" s="16" t="s">
        <v>1496</v>
      </c>
      <c r="C375" s="9"/>
      <c r="D375" s="9" t="str">
        <f t="shared" ca="1" si="8"/>
        <v>0 বছর 5 মাস 10 দিন</v>
      </c>
      <c r="E375" s="11" t="s">
        <v>1497</v>
      </c>
      <c r="F375" s="14">
        <v>30931</v>
      </c>
      <c r="G375" s="17">
        <v>45967</v>
      </c>
      <c r="H375" s="11" t="s">
        <v>1498</v>
      </c>
      <c r="I375" s="11" t="s">
        <v>552</v>
      </c>
      <c r="J375" s="11" t="s">
        <v>1499</v>
      </c>
      <c r="K375" s="11" t="s">
        <v>50</v>
      </c>
      <c r="L375" s="23">
        <v>45987</v>
      </c>
      <c r="M375" s="11"/>
      <c r="N375" s="9" t="s">
        <v>30</v>
      </c>
      <c r="O375" s="11" t="s">
        <v>31</v>
      </c>
      <c r="P375" s="9" t="s">
        <v>69</v>
      </c>
      <c r="Q375" s="11"/>
    </row>
    <row r="376" spans="1:17" ht="66" x14ac:dyDescent="0.25">
      <c r="A376" s="13">
        <v>365</v>
      </c>
      <c r="B376" s="16" t="s">
        <v>1500</v>
      </c>
      <c r="C376" s="9"/>
      <c r="D376" s="9" t="str">
        <f t="shared" ca="1" si="8"/>
        <v>0 বছর 5 মাস 10 দিন</v>
      </c>
      <c r="E376" s="11" t="s">
        <v>1501</v>
      </c>
      <c r="F376" s="14">
        <v>30932</v>
      </c>
      <c r="G376" s="17">
        <v>45967</v>
      </c>
      <c r="H376" s="11" t="s">
        <v>1502</v>
      </c>
      <c r="I376" s="9" t="s">
        <v>843</v>
      </c>
      <c r="J376" s="11" t="s">
        <v>1499</v>
      </c>
      <c r="K376" s="11" t="s">
        <v>50</v>
      </c>
      <c r="L376" s="23">
        <v>45986</v>
      </c>
      <c r="M376" s="11"/>
      <c r="N376" s="9" t="s">
        <v>30</v>
      </c>
      <c r="O376" s="11" t="s">
        <v>31</v>
      </c>
      <c r="P376" s="9" t="s">
        <v>101</v>
      </c>
      <c r="Q376" s="11"/>
    </row>
    <row r="377" spans="1:17" ht="66" x14ac:dyDescent="0.25">
      <c r="A377" s="13">
        <v>366</v>
      </c>
      <c r="B377" s="16" t="s">
        <v>1503</v>
      </c>
      <c r="C377" s="9"/>
      <c r="D377" s="9" t="str">
        <f t="shared" ca="1" si="8"/>
        <v>0 বছর 5 মাস 10 দিন</v>
      </c>
      <c r="E377" s="11" t="s">
        <v>1501</v>
      </c>
      <c r="F377" s="14">
        <v>30933</v>
      </c>
      <c r="G377" s="17">
        <v>45967</v>
      </c>
      <c r="H377" s="11" t="s">
        <v>1502</v>
      </c>
      <c r="I377" s="9" t="s">
        <v>843</v>
      </c>
      <c r="J377" s="11" t="s">
        <v>1499</v>
      </c>
      <c r="K377" s="11" t="s">
        <v>50</v>
      </c>
      <c r="L377" s="23">
        <v>45986</v>
      </c>
      <c r="M377" s="11"/>
      <c r="N377" s="9" t="s">
        <v>30</v>
      </c>
      <c r="O377" s="11" t="s">
        <v>31</v>
      </c>
      <c r="P377" s="9" t="s">
        <v>805</v>
      </c>
      <c r="Q377" s="11"/>
    </row>
    <row r="378" spans="1:17" ht="66" x14ac:dyDescent="0.25">
      <c r="A378" s="13">
        <v>367</v>
      </c>
      <c r="B378" s="16" t="s">
        <v>1504</v>
      </c>
      <c r="C378" s="9">
        <v>16</v>
      </c>
      <c r="D378" s="9" t="str">
        <f t="shared" ca="1" si="8"/>
        <v>16 বছর 5 মাস 10 দিন</v>
      </c>
      <c r="E378" s="11" t="s">
        <v>1505</v>
      </c>
      <c r="F378" s="14">
        <v>30935</v>
      </c>
      <c r="G378" s="17">
        <v>45967</v>
      </c>
      <c r="H378" s="11" t="s">
        <v>1506</v>
      </c>
      <c r="I378" s="11" t="s">
        <v>27</v>
      </c>
      <c r="J378" s="11" t="s">
        <v>1507</v>
      </c>
      <c r="K378" s="11" t="s">
        <v>50</v>
      </c>
      <c r="L378" s="23">
        <v>46063</v>
      </c>
      <c r="M378" s="11"/>
      <c r="N378" s="9" t="s">
        <v>30</v>
      </c>
      <c r="O378" s="11" t="s">
        <v>31</v>
      </c>
      <c r="P378" s="9" t="s">
        <v>94</v>
      </c>
      <c r="Q378" s="11"/>
    </row>
    <row r="379" spans="1:17" ht="66" x14ac:dyDescent="0.25">
      <c r="A379" s="13">
        <v>368</v>
      </c>
      <c r="B379" s="16" t="s">
        <v>1508</v>
      </c>
      <c r="C379" s="9">
        <v>16</v>
      </c>
      <c r="D379" s="9" t="str">
        <f t="shared" ca="1" si="8"/>
        <v>16 বছর 5 মাস 9 দিন</v>
      </c>
      <c r="E379" s="11" t="s">
        <v>1509</v>
      </c>
      <c r="F379" s="14">
        <v>30937</v>
      </c>
      <c r="G379" s="17">
        <v>45968</v>
      </c>
      <c r="H379" s="11" t="s">
        <v>1510</v>
      </c>
      <c r="I379" s="11" t="s">
        <v>38</v>
      </c>
      <c r="J379" s="11" t="s">
        <v>1511</v>
      </c>
      <c r="K379" s="11" t="s">
        <v>50</v>
      </c>
      <c r="L379" s="23"/>
      <c r="M379" s="11"/>
      <c r="N379" s="9" t="s">
        <v>30</v>
      </c>
      <c r="O379" s="11" t="s">
        <v>31</v>
      </c>
      <c r="P379" s="16" t="s">
        <v>158</v>
      </c>
      <c r="Q379" s="11" t="s">
        <v>819</v>
      </c>
    </row>
    <row r="380" spans="1:17" ht="66" x14ac:dyDescent="0.25">
      <c r="A380" s="13">
        <v>369</v>
      </c>
      <c r="B380" s="16" t="s">
        <v>1512</v>
      </c>
      <c r="C380" s="9">
        <v>14</v>
      </c>
      <c r="D380" s="9" t="str">
        <f t="shared" ref="D380:D443" ca="1" si="9">C380+DATEDIF(G380,TODAY(),"y")&amp;" "&amp;"বছর"&amp;" "&amp;DATEDIF(G380,TODAY(),"ym")&amp;" "&amp;"মাস"&amp;" "&amp;DATEDIF(G380,TODAY(),"md")&amp;" "&amp;"দিন"</f>
        <v>14 বছর 5 মাস 9 দিন</v>
      </c>
      <c r="E380" s="11" t="s">
        <v>1513</v>
      </c>
      <c r="F380" s="14">
        <v>30942</v>
      </c>
      <c r="G380" s="17">
        <v>45968</v>
      </c>
      <c r="H380" s="11" t="s">
        <v>1514</v>
      </c>
      <c r="I380" s="11" t="s">
        <v>27</v>
      </c>
      <c r="J380" s="11"/>
      <c r="K380" s="11" t="s">
        <v>50</v>
      </c>
      <c r="L380" s="23"/>
      <c r="M380" s="11"/>
      <c r="N380" s="9" t="s">
        <v>30</v>
      </c>
      <c r="O380" s="11" t="s">
        <v>31</v>
      </c>
      <c r="P380" s="9" t="s">
        <v>180</v>
      </c>
      <c r="Q380" s="11"/>
    </row>
    <row r="381" spans="1:17" ht="99" x14ac:dyDescent="0.25">
      <c r="A381" s="13">
        <v>370</v>
      </c>
      <c r="B381" s="16" t="s">
        <v>1515</v>
      </c>
      <c r="C381" s="9">
        <v>17</v>
      </c>
      <c r="D381" s="9" t="str">
        <f t="shared" ca="1" si="9"/>
        <v>17 বছর 5 মাস 8 দিন</v>
      </c>
      <c r="E381" s="11" t="s">
        <v>1516</v>
      </c>
      <c r="F381" s="14">
        <v>30948</v>
      </c>
      <c r="G381" s="17">
        <v>45969</v>
      </c>
      <c r="H381" s="11" t="s">
        <v>1517</v>
      </c>
      <c r="I381" s="11" t="s">
        <v>843</v>
      </c>
      <c r="J381" s="11" t="s">
        <v>1119</v>
      </c>
      <c r="K381" s="11" t="s">
        <v>50</v>
      </c>
      <c r="L381" s="23">
        <v>46023</v>
      </c>
      <c r="M381" s="11"/>
      <c r="N381" s="9" t="s">
        <v>30</v>
      </c>
      <c r="O381" s="11" t="s">
        <v>100</v>
      </c>
      <c r="P381" s="9" t="s">
        <v>521</v>
      </c>
      <c r="Q381" s="11"/>
    </row>
    <row r="382" spans="1:17" ht="66" x14ac:dyDescent="0.25">
      <c r="A382" s="13">
        <v>371</v>
      </c>
      <c r="B382" s="16" t="s">
        <v>1518</v>
      </c>
      <c r="C382" s="9">
        <v>17</v>
      </c>
      <c r="D382" s="9" t="str">
        <f t="shared" ca="1" si="9"/>
        <v>17 বছর 5 মাস 8 দিন</v>
      </c>
      <c r="E382" s="11" t="s">
        <v>1519</v>
      </c>
      <c r="F382" s="14">
        <v>30949</v>
      </c>
      <c r="G382" s="17">
        <v>45969</v>
      </c>
      <c r="H382" s="11" t="s">
        <v>1520</v>
      </c>
      <c r="I382" s="11" t="s">
        <v>843</v>
      </c>
      <c r="J382" s="11" t="s">
        <v>1119</v>
      </c>
      <c r="K382" s="11" t="s">
        <v>50</v>
      </c>
      <c r="L382" s="23">
        <v>46023</v>
      </c>
      <c r="M382" s="11"/>
      <c r="N382" s="9" t="s">
        <v>30</v>
      </c>
      <c r="O382" s="11" t="s">
        <v>110</v>
      </c>
      <c r="P382" s="9" t="s">
        <v>52</v>
      </c>
      <c r="Q382" s="11"/>
    </row>
    <row r="383" spans="1:17" ht="66" x14ac:dyDescent="0.25">
      <c r="A383" s="13">
        <v>372</v>
      </c>
      <c r="B383" s="16" t="s">
        <v>1521</v>
      </c>
      <c r="C383" s="9">
        <v>16</v>
      </c>
      <c r="D383" s="9" t="str">
        <f t="shared" ca="1" si="9"/>
        <v>16 বছর 5 মাস 8 দিন</v>
      </c>
      <c r="E383" s="11" t="s">
        <v>1516</v>
      </c>
      <c r="F383" s="14">
        <v>30950</v>
      </c>
      <c r="G383" s="17">
        <v>45969</v>
      </c>
      <c r="H383" s="11" t="s">
        <v>1520</v>
      </c>
      <c r="I383" s="11" t="s">
        <v>843</v>
      </c>
      <c r="J383" s="11" t="s">
        <v>1119</v>
      </c>
      <c r="K383" s="11" t="s">
        <v>50</v>
      </c>
      <c r="L383" s="23">
        <v>46023</v>
      </c>
      <c r="M383" s="11"/>
      <c r="N383" s="9" t="s">
        <v>30</v>
      </c>
      <c r="O383" s="11" t="s">
        <v>31</v>
      </c>
      <c r="P383" s="16" t="s">
        <v>158</v>
      </c>
      <c r="Q383" s="11" t="s">
        <v>930</v>
      </c>
    </row>
    <row r="384" spans="1:17" ht="66" x14ac:dyDescent="0.25">
      <c r="A384" s="13">
        <v>373</v>
      </c>
      <c r="B384" s="16" t="s">
        <v>1522</v>
      </c>
      <c r="C384" s="9">
        <v>17</v>
      </c>
      <c r="D384" s="9" t="str">
        <f t="shared" ca="1" si="9"/>
        <v>17 বছর 5 মাস 8 দিন</v>
      </c>
      <c r="E384" s="11" t="s">
        <v>1516</v>
      </c>
      <c r="F384" s="14">
        <v>30951</v>
      </c>
      <c r="G384" s="17">
        <v>45969</v>
      </c>
      <c r="H384" s="11" t="s">
        <v>1520</v>
      </c>
      <c r="I384" s="11" t="s">
        <v>843</v>
      </c>
      <c r="J384" s="11" t="s">
        <v>1119</v>
      </c>
      <c r="K384" s="11" t="s">
        <v>50</v>
      </c>
      <c r="L384" s="23">
        <v>46023</v>
      </c>
      <c r="M384" s="11"/>
      <c r="N384" s="9" t="s">
        <v>30</v>
      </c>
      <c r="O384" s="11" t="s">
        <v>100</v>
      </c>
      <c r="P384" s="16" t="s">
        <v>158</v>
      </c>
      <c r="Q384" s="11" t="s">
        <v>761</v>
      </c>
    </row>
    <row r="385" spans="1:17" ht="66" x14ac:dyDescent="0.25">
      <c r="A385" s="13">
        <v>374</v>
      </c>
      <c r="B385" s="16" t="s">
        <v>1523</v>
      </c>
      <c r="C385" s="9">
        <v>16</v>
      </c>
      <c r="D385" s="9" t="str">
        <f t="shared" ca="1" si="9"/>
        <v>16 বছর 5 মাস 8 দিন</v>
      </c>
      <c r="E385" s="11" t="s">
        <v>1516</v>
      </c>
      <c r="F385" s="14">
        <v>30952</v>
      </c>
      <c r="G385" s="17">
        <v>45969</v>
      </c>
      <c r="H385" s="11" t="s">
        <v>1520</v>
      </c>
      <c r="I385" s="11" t="s">
        <v>843</v>
      </c>
      <c r="J385" s="11" t="s">
        <v>1119</v>
      </c>
      <c r="K385" s="11" t="s">
        <v>50</v>
      </c>
      <c r="L385" s="23">
        <v>46023</v>
      </c>
      <c r="M385" s="11"/>
      <c r="N385" s="9" t="s">
        <v>30</v>
      </c>
      <c r="O385" s="11" t="s">
        <v>31</v>
      </c>
      <c r="P385" s="11" t="s">
        <v>32</v>
      </c>
      <c r="Q385" s="11"/>
    </row>
    <row r="386" spans="1:17" ht="66" x14ac:dyDescent="0.25">
      <c r="A386" s="13">
        <v>375</v>
      </c>
      <c r="B386" s="16" t="s">
        <v>1524</v>
      </c>
      <c r="C386" s="9">
        <v>15</v>
      </c>
      <c r="D386" s="9" t="str">
        <f t="shared" ca="1" si="9"/>
        <v>15 বছর 5 মাস 7 দিন</v>
      </c>
      <c r="E386" s="11" t="s">
        <v>1525</v>
      </c>
      <c r="F386" s="14">
        <v>30956</v>
      </c>
      <c r="G386" s="17">
        <v>45970</v>
      </c>
      <c r="H386" s="11" t="s">
        <v>1526</v>
      </c>
      <c r="I386" s="11" t="s">
        <v>265</v>
      </c>
      <c r="J386" s="11" t="s">
        <v>1527</v>
      </c>
      <c r="K386" s="11" t="s">
        <v>50</v>
      </c>
      <c r="L386" s="23">
        <v>46009</v>
      </c>
      <c r="M386" s="11"/>
      <c r="N386" s="9" t="s">
        <v>30</v>
      </c>
      <c r="O386" s="11" t="s">
        <v>31</v>
      </c>
      <c r="P386" s="11" t="s">
        <v>32</v>
      </c>
      <c r="Q386" s="11"/>
    </row>
    <row r="387" spans="1:17" ht="66" x14ac:dyDescent="0.25">
      <c r="A387" s="13">
        <v>376</v>
      </c>
      <c r="B387" s="16" t="s">
        <v>1528</v>
      </c>
      <c r="C387" s="9"/>
      <c r="D387" s="9" t="str">
        <f t="shared" ca="1" si="9"/>
        <v>0 বছর 5 মাস 7 দিন</v>
      </c>
      <c r="E387" s="11" t="s">
        <v>1529</v>
      </c>
      <c r="F387" s="14">
        <v>30959</v>
      </c>
      <c r="G387" s="17">
        <v>45970</v>
      </c>
      <c r="H387" s="11" t="s">
        <v>1530</v>
      </c>
      <c r="I387" s="11" t="s">
        <v>27</v>
      </c>
      <c r="J387" s="11" t="s">
        <v>1051</v>
      </c>
      <c r="K387" s="11" t="s">
        <v>50</v>
      </c>
      <c r="L387" s="23">
        <v>46006</v>
      </c>
      <c r="M387" s="11"/>
      <c r="N387" s="9" t="s">
        <v>30</v>
      </c>
      <c r="O387" s="11" t="s">
        <v>31</v>
      </c>
      <c r="P387" s="9" t="s">
        <v>52</v>
      </c>
      <c r="Q387" s="11"/>
    </row>
    <row r="388" spans="1:17" ht="66" x14ac:dyDescent="0.25">
      <c r="A388" s="13">
        <v>377</v>
      </c>
      <c r="B388" s="16" t="s">
        <v>1531</v>
      </c>
      <c r="C388" s="9">
        <v>17</v>
      </c>
      <c r="D388" s="9" t="str">
        <f t="shared" ca="1" si="9"/>
        <v>17 বছর 5 মাস 6 দিন</v>
      </c>
      <c r="E388" s="11" t="s">
        <v>1532</v>
      </c>
      <c r="F388" s="14">
        <v>30968</v>
      </c>
      <c r="G388" s="17">
        <v>45971</v>
      </c>
      <c r="H388" s="11" t="s">
        <v>1533</v>
      </c>
      <c r="I388" s="11" t="s">
        <v>27</v>
      </c>
      <c r="J388" s="11" t="s">
        <v>1534</v>
      </c>
      <c r="K388" s="11" t="s">
        <v>50</v>
      </c>
      <c r="L388" s="23">
        <v>45991</v>
      </c>
      <c r="M388" s="11"/>
      <c r="N388" s="9" t="s">
        <v>30</v>
      </c>
      <c r="O388" s="11" t="s">
        <v>100</v>
      </c>
      <c r="P388" s="16" t="s">
        <v>158</v>
      </c>
      <c r="Q388" s="11" t="s">
        <v>930</v>
      </c>
    </row>
    <row r="389" spans="1:17" ht="66" x14ac:dyDescent="0.25">
      <c r="A389" s="13">
        <v>378</v>
      </c>
      <c r="B389" s="16" t="s">
        <v>1535</v>
      </c>
      <c r="C389" s="9">
        <v>15</v>
      </c>
      <c r="D389" s="9" t="str">
        <f t="shared" ca="1" si="9"/>
        <v>15 বছর 5 মাস 5 দিন</v>
      </c>
      <c r="E389" s="11" t="s">
        <v>1536</v>
      </c>
      <c r="F389" s="14">
        <v>30978</v>
      </c>
      <c r="G389" s="17">
        <v>45972</v>
      </c>
      <c r="H389" s="11" t="s">
        <v>1537</v>
      </c>
      <c r="I389" s="11" t="s">
        <v>38</v>
      </c>
      <c r="J389" s="11" t="s">
        <v>1380</v>
      </c>
      <c r="K389" s="11" t="s">
        <v>50</v>
      </c>
      <c r="L389" s="23">
        <v>46021</v>
      </c>
      <c r="M389" s="11"/>
      <c r="N389" s="9" t="s">
        <v>30</v>
      </c>
      <c r="O389" s="11" t="s">
        <v>31</v>
      </c>
      <c r="P389" s="16" t="s">
        <v>1538</v>
      </c>
      <c r="Q389" s="11"/>
    </row>
    <row r="390" spans="1:17" ht="66" x14ac:dyDescent="0.25">
      <c r="A390" s="13">
        <v>379</v>
      </c>
      <c r="B390" s="16" t="s">
        <v>1539</v>
      </c>
      <c r="C390" s="9">
        <v>14</v>
      </c>
      <c r="D390" s="9" t="str">
        <f t="shared" ca="1" si="9"/>
        <v>14 বছর 5 মাস 5 দিন</v>
      </c>
      <c r="E390" s="11" t="s">
        <v>1536</v>
      </c>
      <c r="F390" s="14">
        <v>30979</v>
      </c>
      <c r="G390" s="17">
        <v>45972</v>
      </c>
      <c r="H390" s="11" t="s">
        <v>1537</v>
      </c>
      <c r="I390" s="11" t="s">
        <v>38</v>
      </c>
      <c r="J390" s="11" t="s">
        <v>1380</v>
      </c>
      <c r="K390" s="11" t="s">
        <v>50</v>
      </c>
      <c r="L390" s="23">
        <v>46021</v>
      </c>
      <c r="M390" s="11"/>
      <c r="N390" s="9" t="s">
        <v>30</v>
      </c>
      <c r="O390" s="11" t="s">
        <v>31</v>
      </c>
      <c r="P390" s="9" t="s">
        <v>88</v>
      </c>
      <c r="Q390" s="11"/>
    </row>
    <row r="391" spans="1:17" ht="66" x14ac:dyDescent="0.25">
      <c r="A391" s="13">
        <v>380</v>
      </c>
      <c r="B391" s="16" t="s">
        <v>1540</v>
      </c>
      <c r="C391" s="9">
        <v>17</v>
      </c>
      <c r="D391" s="9" t="str">
        <f t="shared" ca="1" si="9"/>
        <v>17 বছর 5 মাস 5 দিন</v>
      </c>
      <c r="E391" s="11" t="s">
        <v>1541</v>
      </c>
      <c r="F391" s="14">
        <v>30980</v>
      </c>
      <c r="G391" s="17">
        <v>45972</v>
      </c>
      <c r="H391" s="11" t="s">
        <v>1542</v>
      </c>
      <c r="I391" s="11" t="s">
        <v>265</v>
      </c>
      <c r="J391" s="11" t="s">
        <v>1380</v>
      </c>
      <c r="K391" s="11" t="s">
        <v>50</v>
      </c>
      <c r="L391" s="23"/>
      <c r="M391" s="11"/>
      <c r="N391" s="9" t="s">
        <v>30</v>
      </c>
      <c r="O391" s="11" t="s">
        <v>51</v>
      </c>
      <c r="P391" s="9" t="s">
        <v>94</v>
      </c>
      <c r="Q391" s="11"/>
    </row>
    <row r="392" spans="1:17" ht="66" customHeight="1" x14ac:dyDescent="0.25">
      <c r="A392" s="13">
        <v>381</v>
      </c>
      <c r="B392" s="16" t="s">
        <v>1543</v>
      </c>
      <c r="C392" s="9"/>
      <c r="D392" s="9" t="str">
        <f t="shared" ca="1" si="9"/>
        <v>0 বছর 5 মাস 5 দিন</v>
      </c>
      <c r="E392" s="11" t="s">
        <v>1544</v>
      </c>
      <c r="F392" s="14">
        <v>30984</v>
      </c>
      <c r="G392" s="17">
        <v>45972</v>
      </c>
      <c r="H392" s="11" t="s">
        <v>1545</v>
      </c>
      <c r="I392" s="11" t="s">
        <v>27</v>
      </c>
      <c r="J392" s="11" t="s">
        <v>1119</v>
      </c>
      <c r="K392" s="11" t="s">
        <v>50</v>
      </c>
      <c r="L392" s="23"/>
      <c r="M392" s="11"/>
      <c r="N392" s="9" t="s">
        <v>30</v>
      </c>
      <c r="O392" s="11" t="s">
        <v>31</v>
      </c>
      <c r="P392" s="9" t="s">
        <v>40</v>
      </c>
      <c r="Q392" s="11"/>
    </row>
    <row r="393" spans="1:17" ht="66" x14ac:dyDescent="0.25">
      <c r="A393" s="13">
        <v>382</v>
      </c>
      <c r="B393" s="16" t="s">
        <v>1546</v>
      </c>
      <c r="C393" s="9">
        <v>16</v>
      </c>
      <c r="D393" s="9" t="str">
        <f t="shared" ca="1" si="9"/>
        <v>16 বছর 5 মাস 5 দিন</v>
      </c>
      <c r="E393" s="11" t="s">
        <v>1547</v>
      </c>
      <c r="F393" s="14">
        <v>30985</v>
      </c>
      <c r="G393" s="17">
        <v>45972</v>
      </c>
      <c r="H393" s="11" t="s">
        <v>1548</v>
      </c>
      <c r="I393" s="11" t="s">
        <v>27</v>
      </c>
      <c r="J393" s="11" t="s">
        <v>1119</v>
      </c>
      <c r="K393" s="11" t="s">
        <v>50</v>
      </c>
      <c r="L393" s="23">
        <v>45986</v>
      </c>
      <c r="M393" s="11"/>
      <c r="N393" s="9" t="s">
        <v>30</v>
      </c>
      <c r="O393" s="11" t="s">
        <v>31</v>
      </c>
      <c r="P393" s="16" t="s">
        <v>158</v>
      </c>
      <c r="Q393" s="11" t="s">
        <v>1025</v>
      </c>
    </row>
    <row r="394" spans="1:17" ht="66" x14ac:dyDescent="0.25">
      <c r="A394" s="13">
        <v>383</v>
      </c>
      <c r="B394" s="16" t="s">
        <v>1549</v>
      </c>
      <c r="C394" s="9">
        <v>16</v>
      </c>
      <c r="D394" s="9" t="str">
        <f t="shared" ca="1" si="9"/>
        <v>16 বছর 5 মাস 4 দিন</v>
      </c>
      <c r="E394" s="11" t="s">
        <v>1550</v>
      </c>
      <c r="F394" s="14">
        <v>30987</v>
      </c>
      <c r="G394" s="17">
        <v>45973</v>
      </c>
      <c r="H394" s="11" t="s">
        <v>1551</v>
      </c>
      <c r="I394" s="11" t="s">
        <v>265</v>
      </c>
      <c r="J394" s="11" t="s">
        <v>1063</v>
      </c>
      <c r="K394" s="11" t="s">
        <v>50</v>
      </c>
      <c r="L394" s="23">
        <v>45991</v>
      </c>
      <c r="M394" s="11"/>
      <c r="N394" s="9" t="s">
        <v>30</v>
      </c>
      <c r="O394" s="11" t="s">
        <v>31</v>
      </c>
      <c r="P394" s="9" t="s">
        <v>52</v>
      </c>
      <c r="Q394" s="11"/>
    </row>
    <row r="395" spans="1:17" ht="66" x14ac:dyDescent="0.25">
      <c r="A395" s="13">
        <v>384</v>
      </c>
      <c r="B395" s="16" t="s">
        <v>1552</v>
      </c>
      <c r="C395" s="9">
        <v>13</v>
      </c>
      <c r="D395" s="9" t="str">
        <f t="shared" ca="1" si="9"/>
        <v>13 বছর 5 মাস 4 দিন</v>
      </c>
      <c r="E395" s="11" t="s">
        <v>1553</v>
      </c>
      <c r="F395" s="14">
        <v>30990</v>
      </c>
      <c r="G395" s="17">
        <v>45973</v>
      </c>
      <c r="H395" s="11" t="s">
        <v>1554</v>
      </c>
      <c r="I395" s="11" t="s">
        <v>38</v>
      </c>
      <c r="J395" s="11" t="s">
        <v>1555</v>
      </c>
      <c r="K395" s="11" t="s">
        <v>50</v>
      </c>
      <c r="L395" s="23">
        <v>45964</v>
      </c>
      <c r="M395" s="11"/>
      <c r="N395" s="9" t="s">
        <v>30</v>
      </c>
      <c r="O395" s="11" t="s">
        <v>31</v>
      </c>
      <c r="P395" s="9" t="s">
        <v>120</v>
      </c>
      <c r="Q395" s="11"/>
    </row>
    <row r="396" spans="1:17" ht="66" x14ac:dyDescent="0.25">
      <c r="A396" s="13">
        <v>385</v>
      </c>
      <c r="B396" s="16" t="s">
        <v>1556</v>
      </c>
      <c r="C396" s="9">
        <v>14</v>
      </c>
      <c r="D396" s="9" t="str">
        <f t="shared" ca="1" si="9"/>
        <v>14 বছর 5 মাস 4 দিন</v>
      </c>
      <c r="E396" s="11" t="s">
        <v>1557</v>
      </c>
      <c r="F396" s="14">
        <v>30991</v>
      </c>
      <c r="G396" s="17">
        <v>45973</v>
      </c>
      <c r="H396" s="11" t="s">
        <v>1558</v>
      </c>
      <c r="I396" s="11" t="s">
        <v>38</v>
      </c>
      <c r="J396" s="11" t="s">
        <v>1559</v>
      </c>
      <c r="K396" s="11" t="s">
        <v>50</v>
      </c>
      <c r="L396" s="23">
        <v>45964</v>
      </c>
      <c r="M396" s="11"/>
      <c r="N396" s="9" t="s">
        <v>30</v>
      </c>
      <c r="O396" s="11" t="s">
        <v>31</v>
      </c>
      <c r="P396" s="16" t="s">
        <v>158</v>
      </c>
      <c r="Q396" s="11" t="s">
        <v>960</v>
      </c>
    </row>
    <row r="397" spans="1:17" ht="82.5" x14ac:dyDescent="0.25">
      <c r="A397" s="13">
        <v>386</v>
      </c>
      <c r="B397" s="16" t="s">
        <v>1560</v>
      </c>
      <c r="C397" s="9">
        <v>17</v>
      </c>
      <c r="D397" s="9" t="str">
        <f t="shared" ca="1" si="9"/>
        <v>17 বছর 5 মাস 4 দিন</v>
      </c>
      <c r="E397" s="11" t="s">
        <v>1561</v>
      </c>
      <c r="F397" s="14">
        <v>30992</v>
      </c>
      <c r="G397" s="17">
        <v>45973</v>
      </c>
      <c r="H397" s="11" t="s">
        <v>1562</v>
      </c>
      <c r="I397" s="11" t="s">
        <v>265</v>
      </c>
      <c r="J397" s="11" t="s">
        <v>1559</v>
      </c>
      <c r="K397" s="11" t="s">
        <v>50</v>
      </c>
      <c r="L397" s="23">
        <v>45973</v>
      </c>
      <c r="M397" s="11"/>
      <c r="N397" s="9" t="s">
        <v>30</v>
      </c>
      <c r="O397" s="11" t="s">
        <v>51</v>
      </c>
      <c r="P397" s="9" t="s">
        <v>1127</v>
      </c>
      <c r="Q397" s="11"/>
    </row>
    <row r="398" spans="1:17" ht="66" x14ac:dyDescent="0.25">
      <c r="A398" s="13">
        <v>387</v>
      </c>
      <c r="B398" s="16" t="s">
        <v>1563</v>
      </c>
      <c r="C398" s="9">
        <v>16</v>
      </c>
      <c r="D398" s="9" t="str">
        <f t="shared" ca="1" si="9"/>
        <v>16 বছর 5 মাস 3 দিন</v>
      </c>
      <c r="E398" s="11" t="s">
        <v>1564</v>
      </c>
      <c r="F398" s="14">
        <v>31000</v>
      </c>
      <c r="G398" s="17">
        <v>45974</v>
      </c>
      <c r="H398" s="11" t="s">
        <v>1565</v>
      </c>
      <c r="I398" s="11" t="s">
        <v>202</v>
      </c>
      <c r="J398" s="11" t="s">
        <v>1566</v>
      </c>
      <c r="K398" s="11" t="s">
        <v>50</v>
      </c>
      <c r="L398" s="23">
        <v>45991</v>
      </c>
      <c r="M398" s="11"/>
      <c r="N398" s="9" t="s">
        <v>30</v>
      </c>
      <c r="O398" s="11" t="s">
        <v>31</v>
      </c>
      <c r="P398" s="16" t="s">
        <v>158</v>
      </c>
      <c r="Q398" s="11" t="s">
        <v>819</v>
      </c>
    </row>
    <row r="399" spans="1:17" ht="66" x14ac:dyDescent="0.25">
      <c r="A399" s="13">
        <v>388</v>
      </c>
      <c r="B399" s="16" t="s">
        <v>1567</v>
      </c>
      <c r="C399" s="9"/>
      <c r="D399" s="9" t="str">
        <f t="shared" ca="1" si="9"/>
        <v>0 বছর 5 মাস 2 দিন</v>
      </c>
      <c r="E399" s="11" t="s">
        <v>1568</v>
      </c>
      <c r="F399" s="14">
        <v>31002</v>
      </c>
      <c r="G399" s="17">
        <v>45975</v>
      </c>
      <c r="H399" s="11" t="s">
        <v>1569</v>
      </c>
      <c r="I399" s="11" t="s">
        <v>27</v>
      </c>
      <c r="J399" s="11" t="s">
        <v>1570</v>
      </c>
      <c r="K399" s="11" t="s">
        <v>50</v>
      </c>
      <c r="L399" s="23">
        <v>45970</v>
      </c>
      <c r="M399" s="11"/>
      <c r="N399" s="9" t="s">
        <v>30</v>
      </c>
      <c r="O399" s="11" t="s">
        <v>31</v>
      </c>
      <c r="P399" s="9" t="s">
        <v>153</v>
      </c>
      <c r="Q399" s="11"/>
    </row>
    <row r="400" spans="1:17" ht="82.5" x14ac:dyDescent="0.25">
      <c r="A400" s="13">
        <v>389</v>
      </c>
      <c r="B400" s="16" t="s">
        <v>1571</v>
      </c>
      <c r="C400" s="9"/>
      <c r="D400" s="9" t="str">
        <f t="shared" ca="1" si="9"/>
        <v>0 বছর 5 মাস 2 দিন</v>
      </c>
      <c r="E400" s="11" t="s">
        <v>1572</v>
      </c>
      <c r="F400" s="14">
        <v>31003</v>
      </c>
      <c r="G400" s="17">
        <v>45975</v>
      </c>
      <c r="H400" s="11" t="s">
        <v>1573</v>
      </c>
      <c r="I400" s="11" t="s">
        <v>292</v>
      </c>
      <c r="J400" s="11" t="s">
        <v>1570</v>
      </c>
      <c r="K400" s="11" t="s">
        <v>50</v>
      </c>
      <c r="L400" s="23"/>
      <c r="M400" s="11"/>
      <c r="N400" s="9" t="s">
        <v>30</v>
      </c>
      <c r="O400" s="11" t="s">
        <v>31</v>
      </c>
      <c r="P400" s="16" t="s">
        <v>1376</v>
      </c>
      <c r="Q400" s="11"/>
    </row>
    <row r="401" spans="1:17" ht="82.5" x14ac:dyDescent="0.25">
      <c r="A401" s="13">
        <v>390</v>
      </c>
      <c r="B401" s="16" t="s">
        <v>1574</v>
      </c>
      <c r="C401" s="9"/>
      <c r="D401" s="9" t="str">
        <f t="shared" ca="1" si="9"/>
        <v>0 বছর 5 মাস 2 দিন</v>
      </c>
      <c r="E401" s="11" t="s">
        <v>1575</v>
      </c>
      <c r="F401" s="14">
        <v>31004</v>
      </c>
      <c r="G401" s="17">
        <v>45975</v>
      </c>
      <c r="H401" s="11" t="s">
        <v>1576</v>
      </c>
      <c r="I401" s="11" t="s">
        <v>48</v>
      </c>
      <c r="J401" s="11" t="s">
        <v>1570</v>
      </c>
      <c r="K401" s="11" t="s">
        <v>50</v>
      </c>
      <c r="L401" s="23">
        <v>45998</v>
      </c>
      <c r="M401" s="11"/>
      <c r="N401" s="9" t="s">
        <v>30</v>
      </c>
      <c r="O401" s="11" t="s">
        <v>31</v>
      </c>
      <c r="P401" s="16" t="s">
        <v>163</v>
      </c>
      <c r="Q401" s="11"/>
    </row>
    <row r="402" spans="1:17" ht="66" x14ac:dyDescent="0.25">
      <c r="A402" s="13">
        <v>391</v>
      </c>
      <c r="B402" s="16" t="s">
        <v>1577</v>
      </c>
      <c r="C402" s="9">
        <v>16</v>
      </c>
      <c r="D402" s="9" t="str">
        <f t="shared" ca="1" si="9"/>
        <v>16 বছর 5 মাস 2 দিন</v>
      </c>
      <c r="E402" s="11" t="s">
        <v>1578</v>
      </c>
      <c r="F402" s="14">
        <v>31016</v>
      </c>
      <c r="G402" s="17">
        <v>45975</v>
      </c>
      <c r="H402" s="11" t="s">
        <v>1579</v>
      </c>
      <c r="I402" s="11" t="s">
        <v>27</v>
      </c>
      <c r="J402" s="11" t="s">
        <v>909</v>
      </c>
      <c r="K402" s="11" t="s">
        <v>50</v>
      </c>
      <c r="L402" s="23">
        <v>45988</v>
      </c>
      <c r="M402" s="11"/>
      <c r="N402" s="9" t="s">
        <v>30</v>
      </c>
      <c r="O402" s="11" t="s">
        <v>31</v>
      </c>
      <c r="P402" s="9" t="s">
        <v>192</v>
      </c>
      <c r="Q402" s="11"/>
    </row>
    <row r="403" spans="1:17" ht="66" x14ac:dyDescent="0.25">
      <c r="A403" s="13">
        <v>392</v>
      </c>
      <c r="B403" s="16" t="s">
        <v>1580</v>
      </c>
      <c r="C403" s="9">
        <v>16</v>
      </c>
      <c r="D403" s="9" t="str">
        <f t="shared" ca="1" si="9"/>
        <v>16 বছর 5 মাস 2 দিন</v>
      </c>
      <c r="E403" s="11" t="s">
        <v>1581</v>
      </c>
      <c r="F403" s="14">
        <v>31023</v>
      </c>
      <c r="G403" s="17">
        <v>45975</v>
      </c>
      <c r="H403" s="11" t="s">
        <v>1582</v>
      </c>
      <c r="I403" s="11" t="s">
        <v>38</v>
      </c>
      <c r="J403" s="11" t="s">
        <v>985</v>
      </c>
      <c r="K403" s="11" t="s">
        <v>50</v>
      </c>
      <c r="L403" s="23">
        <v>46002</v>
      </c>
      <c r="M403" s="11"/>
      <c r="N403" s="9" t="s">
        <v>30</v>
      </c>
      <c r="O403" s="11" t="s">
        <v>31</v>
      </c>
      <c r="P403" s="11" t="s">
        <v>174</v>
      </c>
      <c r="Q403" s="11"/>
    </row>
    <row r="404" spans="1:17" ht="66" x14ac:dyDescent="0.25">
      <c r="A404" s="13">
        <v>393</v>
      </c>
      <c r="B404" s="16" t="s">
        <v>1583</v>
      </c>
      <c r="C404" s="9"/>
      <c r="D404" s="9" t="str">
        <f t="shared" ca="1" si="9"/>
        <v>0 বছর 5 মাস 1 দিন</v>
      </c>
      <c r="E404" s="11" t="s">
        <v>1584</v>
      </c>
      <c r="F404" s="14">
        <v>31027</v>
      </c>
      <c r="G404" s="17">
        <v>45976</v>
      </c>
      <c r="H404" s="11" t="s">
        <v>1585</v>
      </c>
      <c r="I404" s="11" t="s">
        <v>48</v>
      </c>
      <c r="J404" s="11" t="s">
        <v>1586</v>
      </c>
      <c r="K404" s="11" t="s">
        <v>50</v>
      </c>
      <c r="L404" s="23">
        <v>46020</v>
      </c>
      <c r="M404" s="11"/>
      <c r="N404" s="9" t="s">
        <v>30</v>
      </c>
      <c r="O404" s="11" t="s">
        <v>31</v>
      </c>
      <c r="P404" s="16" t="s">
        <v>229</v>
      </c>
      <c r="Q404" s="11"/>
    </row>
    <row r="405" spans="1:17" ht="66" x14ac:dyDescent="0.25">
      <c r="A405" s="13">
        <v>394</v>
      </c>
      <c r="B405" s="16" t="s">
        <v>1587</v>
      </c>
      <c r="C405" s="9">
        <v>15</v>
      </c>
      <c r="D405" s="9" t="str">
        <f t="shared" ca="1" si="9"/>
        <v>15 বছর 5 মাস 1 দিন</v>
      </c>
      <c r="E405" s="11" t="s">
        <v>1588</v>
      </c>
      <c r="F405" s="14">
        <v>31029</v>
      </c>
      <c r="G405" s="17">
        <v>45976</v>
      </c>
      <c r="H405" s="11" t="s">
        <v>1589</v>
      </c>
      <c r="I405" s="11" t="s">
        <v>964</v>
      </c>
      <c r="J405" s="11" t="s">
        <v>1326</v>
      </c>
      <c r="K405" s="11" t="s">
        <v>50</v>
      </c>
      <c r="L405" s="23">
        <v>46027</v>
      </c>
      <c r="M405" s="11"/>
      <c r="N405" s="9" t="s">
        <v>30</v>
      </c>
      <c r="O405" s="11" t="s">
        <v>31</v>
      </c>
      <c r="P405" s="16" t="s">
        <v>158</v>
      </c>
      <c r="Q405" s="11" t="s">
        <v>960</v>
      </c>
    </row>
    <row r="406" spans="1:17" ht="66" x14ac:dyDescent="0.25">
      <c r="A406" s="13">
        <v>395</v>
      </c>
      <c r="B406" s="16" t="s">
        <v>1590</v>
      </c>
      <c r="C406" s="9">
        <v>15</v>
      </c>
      <c r="D406" s="9" t="str">
        <f t="shared" ca="1" si="9"/>
        <v>15 বছর 5 মাস 1 দিন</v>
      </c>
      <c r="E406" s="11" t="s">
        <v>1591</v>
      </c>
      <c r="F406" s="14">
        <v>31031</v>
      </c>
      <c r="G406" s="17">
        <v>45976</v>
      </c>
      <c r="H406" s="11" t="s">
        <v>1592</v>
      </c>
      <c r="I406" s="11" t="s">
        <v>265</v>
      </c>
      <c r="J406" s="11" t="s">
        <v>1221</v>
      </c>
      <c r="K406" s="11" t="s">
        <v>50</v>
      </c>
      <c r="L406" s="23">
        <v>45987</v>
      </c>
      <c r="M406" s="11"/>
      <c r="N406" s="9" t="s">
        <v>30</v>
      </c>
      <c r="O406" s="11" t="s">
        <v>31</v>
      </c>
      <c r="P406" s="9" t="s">
        <v>240</v>
      </c>
      <c r="Q406" s="11"/>
    </row>
    <row r="407" spans="1:17" ht="66" x14ac:dyDescent="0.25">
      <c r="A407" s="13">
        <v>396</v>
      </c>
      <c r="B407" s="16" t="s">
        <v>1593</v>
      </c>
      <c r="C407" s="9">
        <v>15</v>
      </c>
      <c r="D407" s="9" t="str">
        <f t="shared" ca="1" si="9"/>
        <v>15 বছর 5 মাস 1 দিন</v>
      </c>
      <c r="E407" s="11" t="s">
        <v>1594</v>
      </c>
      <c r="F407" s="14">
        <v>31032</v>
      </c>
      <c r="G407" s="17">
        <v>45976</v>
      </c>
      <c r="H407" s="11" t="s">
        <v>1595</v>
      </c>
      <c r="I407" s="11" t="s">
        <v>265</v>
      </c>
      <c r="J407" s="11" t="s">
        <v>896</v>
      </c>
      <c r="K407" s="11" t="s">
        <v>50</v>
      </c>
      <c r="L407" s="23">
        <v>45993</v>
      </c>
      <c r="M407" s="11"/>
      <c r="N407" s="9" t="s">
        <v>30</v>
      </c>
      <c r="O407" s="11" t="s">
        <v>31</v>
      </c>
      <c r="P407" s="9" t="s">
        <v>246</v>
      </c>
      <c r="Q407" s="11"/>
    </row>
    <row r="408" spans="1:17" ht="66" x14ac:dyDescent="0.25">
      <c r="A408" s="13">
        <v>397</v>
      </c>
      <c r="B408" s="16" t="s">
        <v>1596</v>
      </c>
      <c r="C408" s="9">
        <v>15</v>
      </c>
      <c r="D408" s="9" t="str">
        <f t="shared" ca="1" si="9"/>
        <v>15 বছর 5 মাস 1 দিন</v>
      </c>
      <c r="E408" s="11" t="s">
        <v>1597</v>
      </c>
      <c r="F408" s="14">
        <v>31033</v>
      </c>
      <c r="G408" s="17">
        <v>45976</v>
      </c>
      <c r="H408" s="11" t="s">
        <v>1595</v>
      </c>
      <c r="I408" s="11" t="s">
        <v>265</v>
      </c>
      <c r="J408" s="11" t="s">
        <v>896</v>
      </c>
      <c r="K408" s="11" t="s">
        <v>50</v>
      </c>
      <c r="L408" s="23">
        <v>45993</v>
      </c>
      <c r="M408" s="11"/>
      <c r="N408" s="9" t="s">
        <v>30</v>
      </c>
      <c r="O408" s="11" t="s">
        <v>31</v>
      </c>
      <c r="P408" s="9" t="s">
        <v>252</v>
      </c>
      <c r="Q408" s="11"/>
    </row>
    <row r="409" spans="1:17" ht="66" x14ac:dyDescent="0.25">
      <c r="A409" s="13">
        <v>398</v>
      </c>
      <c r="B409" s="16" t="s">
        <v>1598</v>
      </c>
      <c r="C409" s="9"/>
      <c r="D409" s="9" t="str">
        <f t="shared" ca="1" si="9"/>
        <v>0 বছর 5 মাস 1 দিন</v>
      </c>
      <c r="E409" s="11" t="s">
        <v>1599</v>
      </c>
      <c r="F409" s="14">
        <v>31034</v>
      </c>
      <c r="G409" s="17">
        <v>45976</v>
      </c>
      <c r="H409" s="11" t="s">
        <v>1600</v>
      </c>
      <c r="I409" s="11" t="s">
        <v>202</v>
      </c>
      <c r="J409" s="11" t="s">
        <v>1601</v>
      </c>
      <c r="K409" s="11" t="s">
        <v>50</v>
      </c>
      <c r="L409" s="23">
        <v>46019</v>
      </c>
      <c r="M409" s="11"/>
      <c r="N409" s="9" t="s">
        <v>30</v>
      </c>
      <c r="O409" s="11" t="s">
        <v>31</v>
      </c>
      <c r="P409" s="16" t="s">
        <v>158</v>
      </c>
      <c r="Q409" s="11" t="s">
        <v>1602</v>
      </c>
    </row>
    <row r="410" spans="1:17" ht="66" x14ac:dyDescent="0.25">
      <c r="A410" s="13">
        <v>399</v>
      </c>
      <c r="B410" s="16" t="s">
        <v>1603</v>
      </c>
      <c r="C410" s="9">
        <v>16</v>
      </c>
      <c r="D410" s="9" t="str">
        <f t="shared" ca="1" si="9"/>
        <v>16 বছর 4 মাস 30 দিন</v>
      </c>
      <c r="E410" s="11" t="s">
        <v>1604</v>
      </c>
      <c r="F410" s="14">
        <v>31042</v>
      </c>
      <c r="G410" s="17">
        <v>45978</v>
      </c>
      <c r="H410" s="11" t="s">
        <v>1605</v>
      </c>
      <c r="I410" s="11" t="s">
        <v>202</v>
      </c>
      <c r="J410" s="11" t="s">
        <v>1606</v>
      </c>
      <c r="K410" s="11" t="s">
        <v>50</v>
      </c>
      <c r="L410" s="23">
        <v>45986</v>
      </c>
      <c r="M410" s="11"/>
      <c r="N410" s="9" t="s">
        <v>30</v>
      </c>
      <c r="O410" s="11" t="s">
        <v>31</v>
      </c>
      <c r="P410" s="9" t="s">
        <v>180</v>
      </c>
      <c r="Q410" s="11"/>
    </row>
    <row r="411" spans="1:17" ht="66" x14ac:dyDescent="0.25">
      <c r="A411" s="13">
        <v>400</v>
      </c>
      <c r="B411" s="16" t="s">
        <v>1607</v>
      </c>
      <c r="C411" s="9">
        <v>17</v>
      </c>
      <c r="D411" s="9" t="str">
        <f t="shared" ca="1" si="9"/>
        <v>17 বছর 4 মাস 30 দিন</v>
      </c>
      <c r="E411" s="11" t="s">
        <v>1608</v>
      </c>
      <c r="F411" s="14">
        <v>31043</v>
      </c>
      <c r="G411" s="17">
        <v>45978</v>
      </c>
      <c r="H411" s="11" t="s">
        <v>1605</v>
      </c>
      <c r="I411" s="11" t="s">
        <v>202</v>
      </c>
      <c r="J411" s="11" t="s">
        <v>1606</v>
      </c>
      <c r="K411" s="11" t="s">
        <v>50</v>
      </c>
      <c r="L411" s="23">
        <v>45986</v>
      </c>
      <c r="M411" s="11"/>
      <c r="N411" s="9" t="s">
        <v>30</v>
      </c>
      <c r="O411" s="11" t="s">
        <v>51</v>
      </c>
      <c r="P411" s="16" t="s">
        <v>158</v>
      </c>
      <c r="Q411" s="11" t="s">
        <v>1602</v>
      </c>
    </row>
    <row r="412" spans="1:17" ht="66" x14ac:dyDescent="0.25">
      <c r="A412" s="13">
        <v>401</v>
      </c>
      <c r="B412" s="16" t="s">
        <v>1609</v>
      </c>
      <c r="C412" s="9">
        <v>16</v>
      </c>
      <c r="D412" s="9" t="str">
        <f t="shared" ca="1" si="9"/>
        <v>16 বছর 4 মাস 29 দিন</v>
      </c>
      <c r="E412" s="11" t="s">
        <v>1610</v>
      </c>
      <c r="F412" s="14">
        <v>31044</v>
      </c>
      <c r="G412" s="17">
        <v>45979</v>
      </c>
      <c r="H412" s="11" t="s">
        <v>1611</v>
      </c>
      <c r="I412" s="11" t="s">
        <v>867</v>
      </c>
      <c r="J412" s="11" t="s">
        <v>901</v>
      </c>
      <c r="K412" s="11" t="s">
        <v>50</v>
      </c>
      <c r="L412" s="23">
        <v>46009</v>
      </c>
      <c r="M412" s="11"/>
      <c r="N412" s="9" t="s">
        <v>30</v>
      </c>
      <c r="O412" s="11" t="s">
        <v>31</v>
      </c>
      <c r="P412" s="16" t="s">
        <v>158</v>
      </c>
      <c r="Q412" s="11" t="s">
        <v>1035</v>
      </c>
    </row>
    <row r="413" spans="1:17" ht="66" x14ac:dyDescent="0.25">
      <c r="A413" s="13">
        <v>402</v>
      </c>
      <c r="B413" s="16" t="s">
        <v>1612</v>
      </c>
      <c r="C413" s="9">
        <v>16</v>
      </c>
      <c r="D413" s="9" t="str">
        <f t="shared" ca="1" si="9"/>
        <v>16 বছর 4 মাস 28 দিন</v>
      </c>
      <c r="E413" s="11" t="s">
        <v>1613</v>
      </c>
      <c r="F413" s="14">
        <v>31046</v>
      </c>
      <c r="G413" s="17">
        <v>45980</v>
      </c>
      <c r="H413" s="11" t="s">
        <v>1614</v>
      </c>
      <c r="I413" s="11" t="s">
        <v>202</v>
      </c>
      <c r="J413" s="11" t="s">
        <v>905</v>
      </c>
      <c r="K413" s="11" t="s">
        <v>50</v>
      </c>
      <c r="L413" s="23">
        <v>46002</v>
      </c>
      <c r="M413" s="11"/>
      <c r="N413" s="9" t="s">
        <v>30</v>
      </c>
      <c r="O413" s="11" t="s">
        <v>31</v>
      </c>
      <c r="P413" s="16" t="s">
        <v>158</v>
      </c>
      <c r="Q413" s="11" t="s">
        <v>960</v>
      </c>
    </row>
    <row r="414" spans="1:17" ht="66" x14ac:dyDescent="0.25">
      <c r="A414" s="13">
        <v>403</v>
      </c>
      <c r="B414" s="16" t="s">
        <v>1615</v>
      </c>
      <c r="C414" s="9">
        <v>16</v>
      </c>
      <c r="D414" s="9" t="str">
        <f t="shared" ca="1" si="9"/>
        <v>16 বছর 4 মাস 28 দিন</v>
      </c>
      <c r="E414" s="11" t="s">
        <v>1616</v>
      </c>
      <c r="F414" s="14">
        <v>31047</v>
      </c>
      <c r="G414" s="17">
        <v>45980</v>
      </c>
      <c r="H414" s="11" t="s">
        <v>1614</v>
      </c>
      <c r="I414" s="11" t="s">
        <v>202</v>
      </c>
      <c r="J414" s="11" t="s">
        <v>905</v>
      </c>
      <c r="K414" s="11" t="s">
        <v>50</v>
      </c>
      <c r="L414" s="23">
        <v>46002</v>
      </c>
      <c r="M414" s="11"/>
      <c r="N414" s="9" t="s">
        <v>30</v>
      </c>
      <c r="O414" s="11" t="s">
        <v>31</v>
      </c>
      <c r="P414" s="16" t="s">
        <v>158</v>
      </c>
      <c r="Q414" s="11" t="s">
        <v>1135</v>
      </c>
    </row>
    <row r="415" spans="1:17" ht="66" x14ac:dyDescent="0.25">
      <c r="A415" s="13">
        <v>404</v>
      </c>
      <c r="B415" s="16" t="s">
        <v>1617</v>
      </c>
      <c r="C415" s="9">
        <v>17</v>
      </c>
      <c r="D415" s="9" t="str">
        <f t="shared" ca="1" si="9"/>
        <v>17 বছর 4 মাস 28 দিন</v>
      </c>
      <c r="E415" s="11" t="s">
        <v>1618</v>
      </c>
      <c r="F415" s="14">
        <v>31049</v>
      </c>
      <c r="G415" s="17">
        <v>45980</v>
      </c>
      <c r="H415" s="11" t="s">
        <v>1619</v>
      </c>
      <c r="I415" s="11" t="s">
        <v>27</v>
      </c>
      <c r="J415" s="11" t="s">
        <v>1256</v>
      </c>
      <c r="K415" s="11" t="s">
        <v>50</v>
      </c>
      <c r="L415" s="23">
        <v>46000</v>
      </c>
      <c r="M415" s="11"/>
      <c r="N415" s="9" t="s">
        <v>30</v>
      </c>
      <c r="O415" s="11" t="s">
        <v>51</v>
      </c>
      <c r="P415" s="11" t="s">
        <v>1201</v>
      </c>
      <c r="Q415" s="11"/>
    </row>
    <row r="416" spans="1:17" ht="66" x14ac:dyDescent="0.25">
      <c r="A416" s="13">
        <v>405</v>
      </c>
      <c r="B416" s="16" t="s">
        <v>1620</v>
      </c>
      <c r="C416" s="9">
        <v>16</v>
      </c>
      <c r="D416" s="9" t="str">
        <f t="shared" ca="1" si="9"/>
        <v>16 বছর 4 মাস 28 দিন</v>
      </c>
      <c r="E416" s="11" t="s">
        <v>1621</v>
      </c>
      <c r="F416" s="14">
        <v>31053</v>
      </c>
      <c r="G416" s="17">
        <v>45980</v>
      </c>
      <c r="H416" s="11" t="s">
        <v>1622</v>
      </c>
      <c r="I416" s="11" t="s">
        <v>196</v>
      </c>
      <c r="J416" s="11" t="s">
        <v>1623</v>
      </c>
      <c r="K416" s="11" t="s">
        <v>50</v>
      </c>
      <c r="L416" s="23">
        <v>46023</v>
      </c>
      <c r="M416" s="11"/>
      <c r="N416" s="9" t="s">
        <v>30</v>
      </c>
      <c r="O416" s="11" t="s">
        <v>31</v>
      </c>
      <c r="P416" s="16" t="s">
        <v>158</v>
      </c>
      <c r="Q416" s="11" t="s">
        <v>782</v>
      </c>
    </row>
    <row r="417" spans="1:17" ht="66" x14ac:dyDescent="0.25">
      <c r="A417" s="13">
        <v>406</v>
      </c>
      <c r="B417" s="16" t="s">
        <v>1624</v>
      </c>
      <c r="C417" s="9">
        <v>16</v>
      </c>
      <c r="D417" s="9" t="str">
        <f t="shared" ca="1" si="9"/>
        <v>16 বছর 4 মাস 28 দিন</v>
      </c>
      <c r="E417" s="11" t="s">
        <v>1625</v>
      </c>
      <c r="F417" s="14">
        <v>31054</v>
      </c>
      <c r="G417" s="17">
        <v>45980</v>
      </c>
      <c r="H417" s="11" t="s">
        <v>1626</v>
      </c>
      <c r="I417" s="11" t="s">
        <v>202</v>
      </c>
      <c r="J417" s="11" t="s">
        <v>872</v>
      </c>
      <c r="K417" s="11" t="s">
        <v>50</v>
      </c>
      <c r="L417" s="23"/>
      <c r="M417" s="11"/>
      <c r="N417" s="9" t="s">
        <v>30</v>
      </c>
      <c r="O417" s="11" t="s">
        <v>31</v>
      </c>
      <c r="P417" s="16" t="s">
        <v>81</v>
      </c>
      <c r="Q417" s="11" t="s">
        <v>82</v>
      </c>
    </row>
    <row r="418" spans="1:17" ht="66" x14ac:dyDescent="0.25">
      <c r="A418" s="13">
        <v>407</v>
      </c>
      <c r="B418" s="16" t="s">
        <v>1627</v>
      </c>
      <c r="C418" s="9">
        <v>17</v>
      </c>
      <c r="D418" s="9" t="str">
        <f t="shared" ca="1" si="9"/>
        <v>17 বছর 4 মাস 28 দিন</v>
      </c>
      <c r="E418" s="11" t="s">
        <v>1628</v>
      </c>
      <c r="F418" s="14">
        <v>31058</v>
      </c>
      <c r="G418" s="17">
        <v>45980</v>
      </c>
      <c r="H418" s="11" t="s">
        <v>1629</v>
      </c>
      <c r="I418" s="11" t="s">
        <v>38</v>
      </c>
      <c r="J418" s="11" t="s">
        <v>786</v>
      </c>
      <c r="K418" s="11" t="s">
        <v>50</v>
      </c>
      <c r="L418" s="23">
        <v>45995</v>
      </c>
      <c r="M418" s="11"/>
      <c r="N418" s="9" t="s">
        <v>30</v>
      </c>
      <c r="O418" s="11" t="s">
        <v>100</v>
      </c>
      <c r="P418" s="9" t="s">
        <v>94</v>
      </c>
      <c r="Q418" s="11"/>
    </row>
    <row r="419" spans="1:17" ht="82.5" x14ac:dyDescent="0.25">
      <c r="A419" s="13">
        <v>408</v>
      </c>
      <c r="B419" s="16" t="s">
        <v>1630</v>
      </c>
      <c r="C419" s="9">
        <v>17</v>
      </c>
      <c r="D419" s="9" t="str">
        <f t="shared" ca="1" si="9"/>
        <v>17 বছর 4 মাস 27 দিন</v>
      </c>
      <c r="E419" s="11" t="s">
        <v>1631</v>
      </c>
      <c r="F419" s="14">
        <v>31069</v>
      </c>
      <c r="G419" s="17">
        <v>45981</v>
      </c>
      <c r="H419" s="11" t="s">
        <v>1632</v>
      </c>
      <c r="I419" s="11" t="s">
        <v>27</v>
      </c>
      <c r="J419" s="11" t="s">
        <v>1633</v>
      </c>
      <c r="K419" s="11" t="s">
        <v>50</v>
      </c>
      <c r="L419" s="23">
        <v>46043</v>
      </c>
      <c r="M419" s="11"/>
      <c r="N419" s="9" t="s">
        <v>30</v>
      </c>
      <c r="O419" s="11" t="s">
        <v>51</v>
      </c>
      <c r="P419" s="9" t="s">
        <v>356</v>
      </c>
      <c r="Q419" s="11"/>
    </row>
    <row r="420" spans="1:17" ht="82.5" x14ac:dyDescent="0.25">
      <c r="A420" s="13">
        <v>409</v>
      </c>
      <c r="B420" s="16" t="s">
        <v>1634</v>
      </c>
      <c r="C420" s="9">
        <v>16</v>
      </c>
      <c r="D420" s="9" t="str">
        <f t="shared" ca="1" si="9"/>
        <v>16 বছর 4 মাস 26 দিন</v>
      </c>
      <c r="E420" s="11" t="s">
        <v>1635</v>
      </c>
      <c r="F420" s="14">
        <v>31080</v>
      </c>
      <c r="G420" s="17">
        <v>45982</v>
      </c>
      <c r="H420" s="11" t="s">
        <v>1636</v>
      </c>
      <c r="I420" s="11" t="s">
        <v>27</v>
      </c>
      <c r="J420" s="11" t="s">
        <v>1637</v>
      </c>
      <c r="K420" s="11" t="s">
        <v>50</v>
      </c>
      <c r="L420" s="23">
        <v>45998</v>
      </c>
      <c r="M420" s="11"/>
      <c r="N420" s="9" t="s">
        <v>30</v>
      </c>
      <c r="O420" s="11" t="s">
        <v>31</v>
      </c>
      <c r="P420" s="9" t="s">
        <v>402</v>
      </c>
      <c r="Q420" s="11"/>
    </row>
    <row r="421" spans="1:17" ht="82.5" x14ac:dyDescent="0.25">
      <c r="A421" s="13">
        <v>410</v>
      </c>
      <c r="B421" s="16" t="s">
        <v>1638</v>
      </c>
      <c r="C421" s="9">
        <v>16</v>
      </c>
      <c r="D421" s="9" t="str">
        <f t="shared" ca="1" si="9"/>
        <v>16 বছর 4 মাস 26 দিন</v>
      </c>
      <c r="E421" s="11" t="s">
        <v>1639</v>
      </c>
      <c r="F421" s="14">
        <v>31089</v>
      </c>
      <c r="G421" s="17">
        <v>45982</v>
      </c>
      <c r="H421" s="11" t="s">
        <v>1640</v>
      </c>
      <c r="I421" s="11" t="s">
        <v>265</v>
      </c>
      <c r="J421" s="11" t="s">
        <v>1633</v>
      </c>
      <c r="K421" s="11" t="s">
        <v>50</v>
      </c>
      <c r="L421" s="23">
        <v>46058</v>
      </c>
      <c r="M421" s="11"/>
      <c r="N421" s="9" t="s">
        <v>30</v>
      </c>
      <c r="O421" s="11" t="s">
        <v>31</v>
      </c>
      <c r="P421" s="9" t="s">
        <v>373</v>
      </c>
      <c r="Q421" s="11"/>
    </row>
    <row r="422" spans="1:17" ht="66" x14ac:dyDescent="0.25">
      <c r="A422" s="13">
        <v>411</v>
      </c>
      <c r="B422" s="16" t="s">
        <v>1641</v>
      </c>
      <c r="C422" s="9">
        <v>15</v>
      </c>
      <c r="D422" s="9" t="str">
        <f t="shared" ca="1" si="9"/>
        <v>15 বছর 4 মাস 26 দিন</v>
      </c>
      <c r="E422" s="11" t="s">
        <v>1642</v>
      </c>
      <c r="F422" s="14">
        <v>31091</v>
      </c>
      <c r="G422" s="17">
        <v>45982</v>
      </c>
      <c r="H422" s="11" t="s">
        <v>1643</v>
      </c>
      <c r="I422" s="11" t="s">
        <v>202</v>
      </c>
      <c r="J422" s="11" t="s">
        <v>886</v>
      </c>
      <c r="K422" s="11" t="s">
        <v>50</v>
      </c>
      <c r="L422" s="23"/>
      <c r="M422" s="11"/>
      <c r="N422" s="9" t="s">
        <v>30</v>
      </c>
      <c r="O422" s="11" t="s">
        <v>31</v>
      </c>
      <c r="P422" s="9" t="s">
        <v>441</v>
      </c>
      <c r="Q422" s="11"/>
    </row>
    <row r="423" spans="1:17" ht="66" x14ac:dyDescent="0.25">
      <c r="A423" s="13">
        <v>412</v>
      </c>
      <c r="B423" s="16" t="s">
        <v>1644</v>
      </c>
      <c r="C423" s="9">
        <v>17</v>
      </c>
      <c r="D423" s="9" t="str">
        <f t="shared" ca="1" si="9"/>
        <v>17 বছর 4 মাস 25 দিন</v>
      </c>
      <c r="E423" s="11" t="s">
        <v>1645</v>
      </c>
      <c r="F423" s="14">
        <v>31092</v>
      </c>
      <c r="G423" s="17">
        <v>45983</v>
      </c>
      <c r="H423" s="11" t="s">
        <v>1646</v>
      </c>
      <c r="I423" s="11" t="s">
        <v>27</v>
      </c>
      <c r="J423" s="11" t="s">
        <v>1647</v>
      </c>
      <c r="K423" s="11" t="s">
        <v>50</v>
      </c>
      <c r="L423" s="23">
        <v>46013</v>
      </c>
      <c r="M423" s="11"/>
      <c r="N423" s="9" t="s">
        <v>30</v>
      </c>
      <c r="O423" s="11" t="s">
        <v>51</v>
      </c>
      <c r="P423" s="11" t="s">
        <v>240</v>
      </c>
      <c r="Q423" s="11"/>
    </row>
    <row r="424" spans="1:17" ht="66" x14ac:dyDescent="0.25">
      <c r="A424" s="13">
        <v>413</v>
      </c>
      <c r="B424" s="16" t="s">
        <v>1648</v>
      </c>
      <c r="C424" s="9">
        <v>15</v>
      </c>
      <c r="D424" s="9" t="str">
        <f t="shared" ca="1" si="9"/>
        <v>15 বছর 4 মাস 24 দিন</v>
      </c>
      <c r="E424" s="11" t="s">
        <v>1649</v>
      </c>
      <c r="F424" s="14">
        <v>31102</v>
      </c>
      <c r="G424" s="17">
        <v>45984</v>
      </c>
      <c r="H424" s="11" t="s">
        <v>1650</v>
      </c>
      <c r="I424" s="11" t="s">
        <v>38</v>
      </c>
      <c r="J424" s="11" t="s">
        <v>1651</v>
      </c>
      <c r="K424" s="11" t="s">
        <v>50</v>
      </c>
      <c r="L424" s="23"/>
      <c r="M424" s="11"/>
      <c r="N424" s="9" t="s">
        <v>1652</v>
      </c>
      <c r="O424" s="11" t="s">
        <v>31</v>
      </c>
      <c r="P424" s="16" t="s">
        <v>158</v>
      </c>
      <c r="Q424" s="11" t="s">
        <v>873</v>
      </c>
    </row>
    <row r="425" spans="1:17" ht="66" x14ac:dyDescent="0.25">
      <c r="A425" s="13">
        <v>414</v>
      </c>
      <c r="B425" s="16" t="s">
        <v>1653</v>
      </c>
      <c r="C425" s="9">
        <v>15</v>
      </c>
      <c r="D425" s="9" t="str">
        <f t="shared" ca="1" si="9"/>
        <v>15 বছর 4 মাস 24 দিন</v>
      </c>
      <c r="E425" s="11" t="s">
        <v>1654</v>
      </c>
      <c r="F425" s="14">
        <v>31103</v>
      </c>
      <c r="G425" s="17">
        <v>45984</v>
      </c>
      <c r="H425" s="11" t="s">
        <v>1655</v>
      </c>
      <c r="I425" s="11" t="s">
        <v>265</v>
      </c>
      <c r="J425" s="11" t="s">
        <v>1106</v>
      </c>
      <c r="K425" s="11" t="s">
        <v>50</v>
      </c>
      <c r="L425" s="23">
        <v>46058</v>
      </c>
      <c r="M425" s="11"/>
      <c r="N425" s="9" t="s">
        <v>1652</v>
      </c>
      <c r="O425" s="11" t="s">
        <v>31</v>
      </c>
      <c r="P425" s="9" t="s">
        <v>478</v>
      </c>
      <c r="Q425" s="11"/>
    </row>
    <row r="426" spans="1:17" ht="66" x14ac:dyDescent="0.25">
      <c r="A426" s="13">
        <v>415</v>
      </c>
      <c r="B426" s="16" t="s">
        <v>1656</v>
      </c>
      <c r="C426" s="9">
        <v>16</v>
      </c>
      <c r="D426" s="9" t="str">
        <f t="shared" ca="1" si="9"/>
        <v>16 বছর 4 মাস 23 দিন</v>
      </c>
      <c r="E426" s="11" t="s">
        <v>1657</v>
      </c>
      <c r="F426" s="14">
        <v>31104</v>
      </c>
      <c r="G426" s="17">
        <v>45985</v>
      </c>
      <c r="H426" s="11" t="s">
        <v>1658</v>
      </c>
      <c r="I426" s="11" t="s">
        <v>265</v>
      </c>
      <c r="J426" s="11" t="s">
        <v>1063</v>
      </c>
      <c r="K426" s="11" t="s">
        <v>50</v>
      </c>
      <c r="L426" s="23">
        <v>46006</v>
      </c>
      <c r="M426" s="11"/>
      <c r="N426" s="9" t="s">
        <v>1652</v>
      </c>
      <c r="O426" s="11" t="s">
        <v>31</v>
      </c>
      <c r="P426" s="9" t="s">
        <v>481</v>
      </c>
      <c r="Q426" s="11"/>
    </row>
    <row r="427" spans="1:17" ht="66" x14ac:dyDescent="0.25">
      <c r="A427" s="13">
        <v>416</v>
      </c>
      <c r="B427" s="16" t="s">
        <v>1659</v>
      </c>
      <c r="C427" s="9">
        <v>16</v>
      </c>
      <c r="D427" s="9" t="str">
        <f t="shared" ca="1" si="9"/>
        <v>16 বছর 4 মাস 23 দিন</v>
      </c>
      <c r="E427" s="11" t="s">
        <v>1660</v>
      </c>
      <c r="F427" s="14">
        <v>31105</v>
      </c>
      <c r="G427" s="17">
        <v>45985</v>
      </c>
      <c r="H427" s="11" t="s">
        <v>1661</v>
      </c>
      <c r="I427" s="11" t="s">
        <v>48</v>
      </c>
      <c r="J427" s="11" t="s">
        <v>1063</v>
      </c>
      <c r="K427" s="11" t="s">
        <v>50</v>
      </c>
      <c r="L427" s="23">
        <v>46035</v>
      </c>
      <c r="M427" s="11"/>
      <c r="N427" s="9" t="s">
        <v>1652</v>
      </c>
      <c r="O427" s="11" t="s">
        <v>31</v>
      </c>
      <c r="P427" s="16" t="s">
        <v>158</v>
      </c>
      <c r="Q427" s="11" t="s">
        <v>873</v>
      </c>
    </row>
    <row r="428" spans="1:17" ht="66" x14ac:dyDescent="0.25">
      <c r="A428" s="13">
        <v>417</v>
      </c>
      <c r="B428" s="16" t="s">
        <v>1662</v>
      </c>
      <c r="C428" s="9">
        <v>13</v>
      </c>
      <c r="D428" s="9" t="str">
        <f t="shared" ca="1" si="9"/>
        <v>13 বছর 4 মাস 23 দিন</v>
      </c>
      <c r="E428" s="11" t="s">
        <v>1663</v>
      </c>
      <c r="F428" s="14">
        <v>31107</v>
      </c>
      <c r="G428" s="17">
        <v>45985</v>
      </c>
      <c r="H428" s="11" t="s">
        <v>1664</v>
      </c>
      <c r="I428" s="11" t="s">
        <v>202</v>
      </c>
      <c r="J428" s="11" t="s">
        <v>1665</v>
      </c>
      <c r="K428" s="11" t="s">
        <v>50</v>
      </c>
      <c r="L428" s="23">
        <v>46015</v>
      </c>
      <c r="M428" s="11"/>
      <c r="N428" s="9" t="s">
        <v>1652</v>
      </c>
      <c r="O428" s="11" t="s">
        <v>31</v>
      </c>
      <c r="P428" s="9" t="s">
        <v>101</v>
      </c>
      <c r="Q428" s="11"/>
    </row>
    <row r="429" spans="1:17" ht="66" x14ac:dyDescent="0.25">
      <c r="A429" s="13">
        <v>418</v>
      </c>
      <c r="B429" s="16" t="s">
        <v>1666</v>
      </c>
      <c r="C429" s="9">
        <v>16</v>
      </c>
      <c r="D429" s="9" t="str">
        <f t="shared" ca="1" si="9"/>
        <v>16 বছর 4 মাস 23 দিন</v>
      </c>
      <c r="E429" s="11" t="s">
        <v>1667</v>
      </c>
      <c r="F429" s="14">
        <v>31110</v>
      </c>
      <c r="G429" s="17">
        <v>45985</v>
      </c>
      <c r="H429" s="11" t="s">
        <v>1668</v>
      </c>
      <c r="I429" s="11" t="s">
        <v>265</v>
      </c>
      <c r="J429" s="11" t="s">
        <v>1669</v>
      </c>
      <c r="K429" s="11" t="s">
        <v>50</v>
      </c>
      <c r="L429" s="23">
        <v>46093</v>
      </c>
      <c r="M429" s="11"/>
      <c r="N429" s="9" t="s">
        <v>1652</v>
      </c>
      <c r="O429" s="11" t="s">
        <v>31</v>
      </c>
      <c r="P429" s="11" t="s">
        <v>174</v>
      </c>
      <c r="Q429" s="11"/>
    </row>
    <row r="430" spans="1:17" ht="66" x14ac:dyDescent="0.25">
      <c r="A430" s="13">
        <v>419</v>
      </c>
      <c r="B430" s="16" t="s">
        <v>1670</v>
      </c>
      <c r="C430" s="9">
        <v>17</v>
      </c>
      <c r="D430" s="9" t="str">
        <f t="shared" ca="1" si="9"/>
        <v>17 বছর 4 মাস 23 দিন</v>
      </c>
      <c r="E430" s="11" t="s">
        <v>1671</v>
      </c>
      <c r="F430" s="14">
        <v>31112</v>
      </c>
      <c r="G430" s="17">
        <v>45985</v>
      </c>
      <c r="H430" s="11" t="s">
        <v>1672</v>
      </c>
      <c r="I430" s="11" t="s">
        <v>196</v>
      </c>
      <c r="J430" s="11" t="s">
        <v>1200</v>
      </c>
      <c r="K430" s="11" t="s">
        <v>50</v>
      </c>
      <c r="L430" s="23">
        <v>46021</v>
      </c>
      <c r="M430" s="11"/>
      <c r="N430" s="9" t="s">
        <v>1652</v>
      </c>
      <c r="O430" s="11" t="s">
        <v>51</v>
      </c>
      <c r="P430" s="16" t="s">
        <v>158</v>
      </c>
      <c r="Q430" s="11" t="s">
        <v>819</v>
      </c>
    </row>
    <row r="431" spans="1:17" ht="66" x14ac:dyDescent="0.25">
      <c r="A431" s="13">
        <v>420</v>
      </c>
      <c r="B431" s="16" t="s">
        <v>1673</v>
      </c>
      <c r="C431" s="9">
        <v>17</v>
      </c>
      <c r="D431" s="9" t="str">
        <f t="shared" ca="1" si="9"/>
        <v>17 বছর 4 মাস 23 দিন</v>
      </c>
      <c r="E431" s="11" t="s">
        <v>1671</v>
      </c>
      <c r="F431" s="14">
        <v>31113</v>
      </c>
      <c r="G431" s="17">
        <v>45985</v>
      </c>
      <c r="H431" s="11" t="s">
        <v>1672</v>
      </c>
      <c r="I431" s="11" t="s">
        <v>196</v>
      </c>
      <c r="J431" s="11" t="s">
        <v>1200</v>
      </c>
      <c r="K431" s="11" t="s">
        <v>50</v>
      </c>
      <c r="L431" s="23">
        <v>46021</v>
      </c>
      <c r="M431" s="11"/>
      <c r="N431" s="9" t="s">
        <v>1652</v>
      </c>
      <c r="O431" s="11" t="s">
        <v>100</v>
      </c>
      <c r="P431" s="16" t="s">
        <v>158</v>
      </c>
      <c r="Q431" s="11" t="s">
        <v>819</v>
      </c>
    </row>
    <row r="432" spans="1:17" ht="66" x14ac:dyDescent="0.25">
      <c r="A432" s="13">
        <v>421</v>
      </c>
      <c r="B432" s="16" t="s">
        <v>1674</v>
      </c>
      <c r="C432" s="9">
        <v>17</v>
      </c>
      <c r="D432" s="9" t="str">
        <f t="shared" ca="1" si="9"/>
        <v>17 বছর 4 মাস 22 দিন</v>
      </c>
      <c r="E432" s="11" t="s">
        <v>1675</v>
      </c>
      <c r="F432" s="14">
        <v>31117</v>
      </c>
      <c r="G432" s="17">
        <v>45986</v>
      </c>
      <c r="H432" s="11" t="s">
        <v>1676</v>
      </c>
      <c r="I432" s="11" t="s">
        <v>48</v>
      </c>
      <c r="J432" s="11" t="s">
        <v>989</v>
      </c>
      <c r="K432" s="11" t="s">
        <v>50</v>
      </c>
      <c r="L432" s="23">
        <v>45987</v>
      </c>
      <c r="M432" s="11"/>
      <c r="N432" s="9" t="s">
        <v>1652</v>
      </c>
      <c r="O432" s="11" t="s">
        <v>110</v>
      </c>
      <c r="P432" s="16" t="s">
        <v>158</v>
      </c>
      <c r="Q432" s="11" t="s">
        <v>1677</v>
      </c>
    </row>
    <row r="433" spans="1:17" ht="66" x14ac:dyDescent="0.25">
      <c r="A433" s="13">
        <v>422</v>
      </c>
      <c r="B433" s="16" t="s">
        <v>1678</v>
      </c>
      <c r="C433" s="9">
        <v>14</v>
      </c>
      <c r="D433" s="9" t="str">
        <f t="shared" ca="1" si="9"/>
        <v>14 বছর 4 মাস 22 দিন</v>
      </c>
      <c r="E433" s="11" t="s">
        <v>1679</v>
      </c>
      <c r="F433" s="14">
        <v>31121</v>
      </c>
      <c r="G433" s="17">
        <v>45986</v>
      </c>
      <c r="H433" s="11" t="s">
        <v>1680</v>
      </c>
      <c r="I433" s="11" t="s">
        <v>27</v>
      </c>
      <c r="J433" s="11" t="s">
        <v>1681</v>
      </c>
      <c r="K433" s="11" t="s">
        <v>50</v>
      </c>
      <c r="L433" s="23">
        <v>46071</v>
      </c>
      <c r="M433" s="11"/>
      <c r="N433" s="9" t="s">
        <v>1652</v>
      </c>
      <c r="O433" s="11" t="s">
        <v>31</v>
      </c>
      <c r="P433" s="9" t="s">
        <v>52</v>
      </c>
      <c r="Q433" s="11"/>
    </row>
    <row r="434" spans="1:17" ht="66" x14ac:dyDescent="0.25">
      <c r="A434" s="13">
        <v>423</v>
      </c>
      <c r="B434" s="16" t="s">
        <v>883</v>
      </c>
      <c r="C434" s="9">
        <v>17</v>
      </c>
      <c r="D434" s="9" t="str">
        <f t="shared" ca="1" si="9"/>
        <v>17 বছর 4 মাস 22 দিন</v>
      </c>
      <c r="E434" s="11" t="s">
        <v>1682</v>
      </c>
      <c r="F434" s="14">
        <v>31123</v>
      </c>
      <c r="G434" s="17">
        <v>45986</v>
      </c>
      <c r="H434" s="11" t="s">
        <v>1683</v>
      </c>
      <c r="I434" s="11" t="s">
        <v>265</v>
      </c>
      <c r="J434" s="11" t="s">
        <v>1684</v>
      </c>
      <c r="K434" s="11" t="s">
        <v>50</v>
      </c>
      <c r="L434" s="23"/>
      <c r="M434" s="11"/>
      <c r="N434" s="9" t="s">
        <v>1652</v>
      </c>
      <c r="O434" s="11" t="s">
        <v>110</v>
      </c>
      <c r="P434" s="9" t="s">
        <v>391</v>
      </c>
      <c r="Q434" s="11"/>
    </row>
    <row r="435" spans="1:17" ht="66" x14ac:dyDescent="0.25">
      <c r="A435" s="13">
        <v>424</v>
      </c>
      <c r="B435" s="16" t="s">
        <v>1685</v>
      </c>
      <c r="C435" s="9"/>
      <c r="D435" s="9" t="str">
        <f t="shared" ca="1" si="9"/>
        <v>0 বছর 4 মাস 20 দিন</v>
      </c>
      <c r="E435" s="11" t="s">
        <v>1686</v>
      </c>
      <c r="F435" s="14">
        <v>31130</v>
      </c>
      <c r="G435" s="17">
        <v>45988</v>
      </c>
      <c r="H435" s="11" t="s">
        <v>1687</v>
      </c>
      <c r="I435" s="21" t="s">
        <v>202</v>
      </c>
      <c r="J435" s="11" t="s">
        <v>882</v>
      </c>
      <c r="K435" s="11" t="s">
        <v>50</v>
      </c>
      <c r="L435" s="23">
        <v>46015</v>
      </c>
      <c r="M435" s="11"/>
      <c r="N435" s="9" t="s">
        <v>1652</v>
      </c>
      <c r="O435" s="11" t="s">
        <v>31</v>
      </c>
      <c r="P435" s="16" t="s">
        <v>158</v>
      </c>
      <c r="Q435" s="11" t="s">
        <v>1025</v>
      </c>
    </row>
    <row r="436" spans="1:17" ht="66" x14ac:dyDescent="0.25">
      <c r="A436" s="13">
        <v>425</v>
      </c>
      <c r="B436" s="16" t="s">
        <v>1688</v>
      </c>
      <c r="C436" s="9">
        <v>16</v>
      </c>
      <c r="D436" s="9" t="str">
        <f t="shared" ca="1" si="9"/>
        <v>16 বছর 4 মাস 20 দিন</v>
      </c>
      <c r="E436" s="11" t="s">
        <v>1689</v>
      </c>
      <c r="F436" s="14">
        <v>31131</v>
      </c>
      <c r="G436" s="17">
        <v>45988</v>
      </c>
      <c r="H436" s="11" t="s">
        <v>1690</v>
      </c>
      <c r="I436" s="21" t="s">
        <v>202</v>
      </c>
      <c r="J436" s="11" t="s">
        <v>882</v>
      </c>
      <c r="K436" s="11" t="s">
        <v>50</v>
      </c>
      <c r="L436" s="23">
        <v>46029</v>
      </c>
      <c r="M436" s="11"/>
      <c r="N436" s="9" t="s">
        <v>1652</v>
      </c>
      <c r="O436" s="11" t="s">
        <v>31</v>
      </c>
      <c r="P436" s="16" t="s">
        <v>158</v>
      </c>
      <c r="Q436" s="11" t="s">
        <v>782</v>
      </c>
    </row>
    <row r="437" spans="1:17" ht="66" x14ac:dyDescent="0.25">
      <c r="A437" s="13">
        <v>426</v>
      </c>
      <c r="B437" s="16" t="s">
        <v>1691</v>
      </c>
      <c r="C437" s="9">
        <v>16</v>
      </c>
      <c r="D437" s="9" t="str">
        <f t="shared" ca="1" si="9"/>
        <v>16 বছর 4 মাস 17 দিন</v>
      </c>
      <c r="E437" s="11" t="s">
        <v>1692</v>
      </c>
      <c r="F437" s="14">
        <v>31152</v>
      </c>
      <c r="G437" s="17">
        <v>45991</v>
      </c>
      <c r="H437" s="11" t="s">
        <v>1693</v>
      </c>
      <c r="I437" s="11" t="s">
        <v>202</v>
      </c>
      <c r="J437" s="11" t="s">
        <v>1694</v>
      </c>
      <c r="K437" s="11" t="s">
        <v>50</v>
      </c>
      <c r="L437" s="23">
        <v>45690</v>
      </c>
      <c r="M437" s="11"/>
      <c r="N437" s="9" t="s">
        <v>1652</v>
      </c>
      <c r="O437" s="11" t="s">
        <v>31</v>
      </c>
      <c r="P437" s="16" t="s">
        <v>158</v>
      </c>
      <c r="Q437" s="11" t="s">
        <v>283</v>
      </c>
    </row>
    <row r="438" spans="1:17" ht="66" x14ac:dyDescent="0.25">
      <c r="A438" s="13">
        <v>427</v>
      </c>
      <c r="B438" s="16" t="s">
        <v>1695</v>
      </c>
      <c r="C438" s="9">
        <v>17</v>
      </c>
      <c r="D438" s="9" t="str">
        <f t="shared" ca="1" si="9"/>
        <v>17 বছর 4 মাস 17 দিন</v>
      </c>
      <c r="E438" s="11" t="s">
        <v>1696</v>
      </c>
      <c r="F438" s="14">
        <v>31153</v>
      </c>
      <c r="G438" s="17">
        <v>45991</v>
      </c>
      <c r="H438" s="11" t="s">
        <v>1697</v>
      </c>
      <c r="I438" s="11" t="s">
        <v>48</v>
      </c>
      <c r="J438" s="11" t="s">
        <v>905</v>
      </c>
      <c r="K438" s="11" t="s">
        <v>50</v>
      </c>
      <c r="L438" s="23">
        <v>45994</v>
      </c>
      <c r="M438" s="11"/>
      <c r="N438" s="9" t="s">
        <v>1652</v>
      </c>
      <c r="O438" s="11" t="s">
        <v>110</v>
      </c>
      <c r="P438" s="9" t="s">
        <v>192</v>
      </c>
      <c r="Q438" s="11"/>
    </row>
    <row r="439" spans="1:17" ht="66" x14ac:dyDescent="0.25">
      <c r="A439" s="13">
        <v>428</v>
      </c>
      <c r="B439" s="16" t="s">
        <v>1698</v>
      </c>
      <c r="C439" s="9">
        <v>16</v>
      </c>
      <c r="D439" s="9" t="str">
        <f t="shared" ca="1" si="9"/>
        <v>16 বছর 4 মাস 14 দিন</v>
      </c>
      <c r="E439" s="11" t="s">
        <v>1699</v>
      </c>
      <c r="F439" s="14">
        <v>31157</v>
      </c>
      <c r="G439" s="17">
        <v>45993</v>
      </c>
      <c r="H439" s="11" t="s">
        <v>1700</v>
      </c>
      <c r="I439" s="9" t="s">
        <v>48</v>
      </c>
      <c r="J439" s="11" t="s">
        <v>1449</v>
      </c>
      <c r="K439" s="11" t="s">
        <v>50</v>
      </c>
      <c r="L439" s="23">
        <v>46021</v>
      </c>
      <c r="M439" s="11"/>
      <c r="N439" s="9" t="s">
        <v>30</v>
      </c>
      <c r="O439" s="11" t="s">
        <v>100</v>
      </c>
      <c r="P439" s="11" t="s">
        <v>174</v>
      </c>
      <c r="Q439" s="11"/>
    </row>
    <row r="440" spans="1:17" ht="66" x14ac:dyDescent="0.25">
      <c r="A440" s="13">
        <v>429</v>
      </c>
      <c r="B440" s="16" t="s">
        <v>1701</v>
      </c>
      <c r="C440" s="9">
        <v>16</v>
      </c>
      <c r="D440" s="9" t="str">
        <f t="shared" ca="1" si="9"/>
        <v>16 বছর 4 মাস 14 দিন</v>
      </c>
      <c r="E440" s="11" t="s">
        <v>1702</v>
      </c>
      <c r="F440" s="14">
        <v>31160</v>
      </c>
      <c r="G440" s="17">
        <v>45993</v>
      </c>
      <c r="H440" s="11" t="s">
        <v>1703</v>
      </c>
      <c r="I440" s="9" t="s">
        <v>196</v>
      </c>
      <c r="J440" s="11" t="s">
        <v>1704</v>
      </c>
      <c r="K440" s="11" t="s">
        <v>50</v>
      </c>
      <c r="L440" s="23">
        <v>46014</v>
      </c>
      <c r="M440" s="11"/>
      <c r="N440" s="9" t="s">
        <v>30</v>
      </c>
      <c r="O440" s="11" t="s">
        <v>51</v>
      </c>
      <c r="P440" s="16" t="s">
        <v>229</v>
      </c>
      <c r="Q440" s="11"/>
    </row>
    <row r="441" spans="1:17" ht="66" x14ac:dyDescent="0.25">
      <c r="A441" s="13">
        <v>430</v>
      </c>
      <c r="B441" s="16" t="s">
        <v>1705</v>
      </c>
      <c r="C441" s="9"/>
      <c r="D441" s="9" t="str">
        <f t="shared" ca="1" si="9"/>
        <v>0 বছর 4 মাস 14 দিন</v>
      </c>
      <c r="E441" s="11" t="s">
        <v>1706</v>
      </c>
      <c r="F441" s="14">
        <v>31161</v>
      </c>
      <c r="G441" s="17">
        <v>45993</v>
      </c>
      <c r="H441" s="11" t="s">
        <v>1707</v>
      </c>
      <c r="I441" s="9" t="s">
        <v>843</v>
      </c>
      <c r="J441" s="11" t="s">
        <v>1704</v>
      </c>
      <c r="K441" s="11" t="s">
        <v>50</v>
      </c>
      <c r="L441" s="23">
        <v>45988</v>
      </c>
      <c r="M441" s="11"/>
      <c r="N441" s="9" t="s">
        <v>30</v>
      </c>
      <c r="O441" s="11" t="s">
        <v>31</v>
      </c>
      <c r="P441" s="9" t="s">
        <v>186</v>
      </c>
      <c r="Q441" s="11"/>
    </row>
    <row r="442" spans="1:17" ht="66" x14ac:dyDescent="0.25">
      <c r="A442" s="13">
        <v>431</v>
      </c>
      <c r="B442" s="16" t="s">
        <v>1708</v>
      </c>
      <c r="C442" s="9">
        <v>16</v>
      </c>
      <c r="D442" s="9" t="str">
        <f t="shared" ca="1" si="9"/>
        <v>16 বছর 4 মাস 14 দিন</v>
      </c>
      <c r="E442" s="11" t="s">
        <v>1709</v>
      </c>
      <c r="F442" s="14">
        <v>31162</v>
      </c>
      <c r="G442" s="17">
        <v>45993</v>
      </c>
      <c r="H442" s="11" t="s">
        <v>1710</v>
      </c>
      <c r="I442" s="9" t="s">
        <v>48</v>
      </c>
      <c r="J442" s="11" t="s">
        <v>1711</v>
      </c>
      <c r="K442" s="11" t="s">
        <v>50</v>
      </c>
      <c r="L442" s="23">
        <v>46041</v>
      </c>
      <c r="M442" s="11"/>
      <c r="N442" s="9" t="s">
        <v>30</v>
      </c>
      <c r="O442" s="11" t="s">
        <v>100</v>
      </c>
      <c r="P442" s="9" t="s">
        <v>101</v>
      </c>
      <c r="Q442" s="11"/>
    </row>
    <row r="443" spans="1:17" ht="82.5" x14ac:dyDescent="0.25">
      <c r="A443" s="13">
        <v>432</v>
      </c>
      <c r="B443" s="16" t="s">
        <v>1712</v>
      </c>
      <c r="C443" s="9">
        <v>17</v>
      </c>
      <c r="D443" s="9" t="str">
        <f t="shared" ca="1" si="9"/>
        <v>17 বছর 4 মাস 14 দিন</v>
      </c>
      <c r="E443" s="11" t="s">
        <v>1713</v>
      </c>
      <c r="F443" s="14">
        <v>31163</v>
      </c>
      <c r="G443" s="17">
        <v>45993</v>
      </c>
      <c r="H443" s="11" t="s">
        <v>1714</v>
      </c>
      <c r="I443" s="9" t="s">
        <v>202</v>
      </c>
      <c r="J443" s="11" t="s">
        <v>1711</v>
      </c>
      <c r="K443" s="11" t="s">
        <v>50</v>
      </c>
      <c r="L443" s="15">
        <v>45683</v>
      </c>
      <c r="M443" s="11"/>
      <c r="N443" s="9" t="s">
        <v>30</v>
      </c>
      <c r="O443" s="11" t="s">
        <v>51</v>
      </c>
      <c r="P443" s="16" t="s">
        <v>158</v>
      </c>
      <c r="Q443" s="11" t="s">
        <v>169</v>
      </c>
    </row>
    <row r="444" spans="1:17" ht="66" x14ac:dyDescent="0.25">
      <c r="A444" s="13">
        <v>433</v>
      </c>
      <c r="B444" s="16" t="s">
        <v>1715</v>
      </c>
      <c r="C444" s="9">
        <v>12</v>
      </c>
      <c r="D444" s="9" t="str">
        <f t="shared" ref="D444:D507" ca="1" si="10">C444+DATEDIF(G444,TODAY(),"y")&amp;" "&amp;"বছর"&amp;" "&amp;DATEDIF(G444,TODAY(),"ym")&amp;" "&amp;"মাস"&amp;" "&amp;DATEDIF(G444,TODAY(),"md")&amp;" "&amp;"দিন"</f>
        <v>12 বছর 4 মাস 14 দিন</v>
      </c>
      <c r="E444" s="11" t="s">
        <v>1716</v>
      </c>
      <c r="F444" s="14">
        <v>31168</v>
      </c>
      <c r="G444" s="17">
        <v>45993</v>
      </c>
      <c r="H444" s="11" t="s">
        <v>1717</v>
      </c>
      <c r="I444" s="9" t="s">
        <v>265</v>
      </c>
      <c r="J444" s="11" t="s">
        <v>1051</v>
      </c>
      <c r="K444" s="11" t="s">
        <v>50</v>
      </c>
      <c r="L444" s="23">
        <v>46044</v>
      </c>
      <c r="M444" s="11"/>
      <c r="N444" s="9" t="s">
        <v>30</v>
      </c>
      <c r="O444" s="11" t="s">
        <v>31</v>
      </c>
      <c r="P444" s="16" t="s">
        <v>158</v>
      </c>
      <c r="Q444" s="11" t="s">
        <v>782</v>
      </c>
    </row>
    <row r="445" spans="1:17" ht="66" x14ac:dyDescent="0.25">
      <c r="A445" s="13">
        <v>434</v>
      </c>
      <c r="B445" s="16" t="s">
        <v>1718</v>
      </c>
      <c r="C445" s="9"/>
      <c r="D445" s="9" t="str">
        <f t="shared" ca="1" si="10"/>
        <v>0 বছর 4 মাস 14 দিন</v>
      </c>
      <c r="E445" s="11" t="s">
        <v>1719</v>
      </c>
      <c r="F445" s="14">
        <v>31169</v>
      </c>
      <c r="G445" s="17">
        <v>45993</v>
      </c>
      <c r="H445" s="11" t="s">
        <v>1720</v>
      </c>
      <c r="I445" s="9" t="s">
        <v>38</v>
      </c>
      <c r="J445" s="11" t="s">
        <v>1721</v>
      </c>
      <c r="K445" s="11" t="s">
        <v>50</v>
      </c>
      <c r="L445" s="23">
        <v>46051</v>
      </c>
      <c r="M445" s="11"/>
      <c r="N445" s="9" t="s">
        <v>30</v>
      </c>
      <c r="O445" s="11" t="s">
        <v>31</v>
      </c>
      <c r="P445" s="11" t="s">
        <v>174</v>
      </c>
      <c r="Q445" s="11"/>
    </row>
    <row r="446" spans="1:17" ht="82.5" x14ac:dyDescent="0.25">
      <c r="A446" s="13">
        <v>435</v>
      </c>
      <c r="B446" s="16" t="s">
        <v>1722</v>
      </c>
      <c r="C446" s="9">
        <v>15</v>
      </c>
      <c r="D446" s="9" t="str">
        <f t="shared" ca="1" si="10"/>
        <v>15 বছর 4 মাস 14 দিন</v>
      </c>
      <c r="E446" s="11" t="s">
        <v>1723</v>
      </c>
      <c r="F446" s="14">
        <v>31170</v>
      </c>
      <c r="G446" s="17">
        <v>45993</v>
      </c>
      <c r="H446" s="11" t="s">
        <v>1720</v>
      </c>
      <c r="I446" s="9" t="s">
        <v>38</v>
      </c>
      <c r="J446" s="11" t="s">
        <v>1721</v>
      </c>
      <c r="K446" s="11" t="s">
        <v>50</v>
      </c>
      <c r="L446" s="23">
        <v>46051</v>
      </c>
      <c r="M446" s="11"/>
      <c r="N446" s="9" t="s">
        <v>30</v>
      </c>
      <c r="O446" s="11" t="s">
        <v>31</v>
      </c>
      <c r="P446" s="9" t="s">
        <v>272</v>
      </c>
      <c r="Q446" s="11"/>
    </row>
    <row r="447" spans="1:17" ht="66" x14ac:dyDescent="0.25">
      <c r="A447" s="13">
        <v>436</v>
      </c>
      <c r="B447" s="16" t="s">
        <v>1724</v>
      </c>
      <c r="C447" s="9">
        <v>13</v>
      </c>
      <c r="D447" s="9" t="str">
        <f t="shared" ca="1" si="10"/>
        <v>13 বছর 4 মাস 13 দিন</v>
      </c>
      <c r="E447" s="11" t="s">
        <v>1725</v>
      </c>
      <c r="F447" s="14">
        <v>31175</v>
      </c>
      <c r="G447" s="17">
        <v>45994</v>
      </c>
      <c r="H447" s="11" t="s">
        <v>1726</v>
      </c>
      <c r="I447" s="9" t="s">
        <v>48</v>
      </c>
      <c r="J447" s="11" t="s">
        <v>1727</v>
      </c>
      <c r="K447" s="11" t="s">
        <v>50</v>
      </c>
      <c r="L447" s="23">
        <v>46043</v>
      </c>
      <c r="M447" s="11"/>
      <c r="N447" s="9" t="s">
        <v>30</v>
      </c>
      <c r="O447" s="11" t="s">
        <v>31</v>
      </c>
      <c r="P447" s="11" t="s">
        <v>294</v>
      </c>
      <c r="Q447" s="11"/>
    </row>
    <row r="448" spans="1:17" ht="66" x14ac:dyDescent="0.25">
      <c r="A448" s="13">
        <v>437</v>
      </c>
      <c r="B448" s="16" t="s">
        <v>1728</v>
      </c>
      <c r="C448" s="9">
        <v>16</v>
      </c>
      <c r="D448" s="9" t="str">
        <f t="shared" ca="1" si="10"/>
        <v>16 বছর 4 মাস 13 দিন</v>
      </c>
      <c r="E448" s="11" t="s">
        <v>1729</v>
      </c>
      <c r="F448" s="14">
        <v>31176</v>
      </c>
      <c r="G448" s="17">
        <v>45994</v>
      </c>
      <c r="H448" s="11" t="s">
        <v>1726</v>
      </c>
      <c r="I448" s="9" t="s">
        <v>48</v>
      </c>
      <c r="J448" s="11" t="s">
        <v>1727</v>
      </c>
      <c r="K448" s="11" t="s">
        <v>50</v>
      </c>
      <c r="L448" s="23">
        <v>46043</v>
      </c>
      <c r="M448" s="11"/>
      <c r="N448" s="9" t="s">
        <v>30</v>
      </c>
      <c r="O448" s="11" t="s">
        <v>51</v>
      </c>
      <c r="P448" s="11" t="s">
        <v>294</v>
      </c>
      <c r="Q448" s="11"/>
    </row>
    <row r="449" spans="1:17" ht="66" x14ac:dyDescent="0.25">
      <c r="A449" s="13">
        <v>438</v>
      </c>
      <c r="B449" s="16" t="s">
        <v>1730</v>
      </c>
      <c r="C449" s="9">
        <v>17</v>
      </c>
      <c r="D449" s="9" t="str">
        <f t="shared" ca="1" si="10"/>
        <v>17 বছর 4 মাস 13 দিন</v>
      </c>
      <c r="E449" s="11" t="s">
        <v>1731</v>
      </c>
      <c r="F449" s="14">
        <v>31179</v>
      </c>
      <c r="G449" s="17">
        <v>45994</v>
      </c>
      <c r="H449" s="11" t="s">
        <v>1732</v>
      </c>
      <c r="I449" s="9" t="s">
        <v>202</v>
      </c>
      <c r="J449" s="11" t="s">
        <v>1727</v>
      </c>
      <c r="K449" s="11" t="s">
        <v>50</v>
      </c>
      <c r="L449" s="23">
        <v>46043</v>
      </c>
      <c r="M449" s="11"/>
      <c r="N449" s="9" t="s">
        <v>30</v>
      </c>
      <c r="O449" s="11" t="s">
        <v>100</v>
      </c>
      <c r="P449" s="9" t="s">
        <v>309</v>
      </c>
      <c r="Q449" s="11"/>
    </row>
    <row r="450" spans="1:17" ht="82.5" x14ac:dyDescent="0.25">
      <c r="A450" s="13">
        <v>439</v>
      </c>
      <c r="B450" s="16" t="s">
        <v>1733</v>
      </c>
      <c r="C450" s="9">
        <v>16</v>
      </c>
      <c r="D450" s="9" t="str">
        <f t="shared" ca="1" si="10"/>
        <v>16 বছর 4 মাস 13 দিন</v>
      </c>
      <c r="E450" s="11" t="s">
        <v>1734</v>
      </c>
      <c r="F450" s="14">
        <v>31180</v>
      </c>
      <c r="G450" s="17">
        <v>45994</v>
      </c>
      <c r="H450" s="11" t="s">
        <v>1735</v>
      </c>
      <c r="I450" s="9" t="s">
        <v>38</v>
      </c>
      <c r="J450" s="11" t="s">
        <v>1727</v>
      </c>
      <c r="K450" s="11" t="s">
        <v>50</v>
      </c>
      <c r="L450" s="23">
        <v>46043</v>
      </c>
      <c r="M450" s="11"/>
      <c r="N450" s="9" t="s">
        <v>30</v>
      </c>
      <c r="O450" s="11" t="s">
        <v>110</v>
      </c>
      <c r="P450" s="11" t="s">
        <v>314</v>
      </c>
      <c r="Q450" s="11"/>
    </row>
    <row r="451" spans="1:17" ht="66" x14ac:dyDescent="0.25">
      <c r="A451" s="13">
        <v>440</v>
      </c>
      <c r="B451" s="16" t="s">
        <v>1736</v>
      </c>
      <c r="C451" s="9">
        <v>18</v>
      </c>
      <c r="D451" s="9" t="str">
        <f t="shared" ca="1" si="10"/>
        <v>18 বছর 4 মাস 13 দিন</v>
      </c>
      <c r="E451" s="11" t="s">
        <v>1737</v>
      </c>
      <c r="F451" s="14">
        <v>31184</v>
      </c>
      <c r="G451" s="17">
        <v>45994</v>
      </c>
      <c r="H451" s="11" t="s">
        <v>1357</v>
      </c>
      <c r="I451" s="9" t="s">
        <v>48</v>
      </c>
      <c r="J451" s="11" t="s">
        <v>1738</v>
      </c>
      <c r="K451" s="11" t="s">
        <v>50</v>
      </c>
      <c r="L451" s="23"/>
      <c r="M451" s="11"/>
      <c r="N451" s="9" t="s">
        <v>30</v>
      </c>
      <c r="O451" s="11" t="s">
        <v>51</v>
      </c>
      <c r="P451" s="9" t="s">
        <v>94</v>
      </c>
      <c r="Q451" s="11"/>
    </row>
    <row r="452" spans="1:17" ht="66" x14ac:dyDescent="0.25">
      <c r="A452" s="13">
        <v>441</v>
      </c>
      <c r="B452" s="16" t="s">
        <v>1739</v>
      </c>
      <c r="C452" s="9">
        <v>18</v>
      </c>
      <c r="D452" s="9" t="str">
        <f t="shared" ca="1" si="10"/>
        <v>18 বছর 4 মাস 13 দিন</v>
      </c>
      <c r="E452" s="11" t="s">
        <v>1740</v>
      </c>
      <c r="F452" s="14">
        <v>31185</v>
      </c>
      <c r="G452" s="17">
        <v>45994</v>
      </c>
      <c r="H452" s="11" t="s">
        <v>1741</v>
      </c>
      <c r="I452" s="9" t="s">
        <v>843</v>
      </c>
      <c r="J452" s="11" t="s">
        <v>1738</v>
      </c>
      <c r="K452" s="11" t="s">
        <v>50</v>
      </c>
      <c r="L452" s="23"/>
      <c r="M452" s="11"/>
      <c r="N452" s="9" t="s">
        <v>30</v>
      </c>
      <c r="O452" s="11" t="s">
        <v>51</v>
      </c>
      <c r="P452" s="9" t="s">
        <v>101</v>
      </c>
      <c r="Q452" s="11"/>
    </row>
    <row r="453" spans="1:17" ht="66" x14ac:dyDescent="0.25">
      <c r="A453" s="13">
        <v>442</v>
      </c>
      <c r="B453" s="16" t="s">
        <v>1742</v>
      </c>
      <c r="C453" s="9">
        <v>19</v>
      </c>
      <c r="D453" s="9" t="str">
        <f t="shared" ca="1" si="10"/>
        <v>19 বছর 4 মাস 13 দিন</v>
      </c>
      <c r="E453" s="11" t="s">
        <v>1743</v>
      </c>
      <c r="F453" s="14">
        <v>31186</v>
      </c>
      <c r="G453" s="17">
        <v>45994</v>
      </c>
      <c r="H453" s="11" t="s">
        <v>1741</v>
      </c>
      <c r="I453" s="9" t="s">
        <v>843</v>
      </c>
      <c r="J453" s="11" t="s">
        <v>1738</v>
      </c>
      <c r="K453" s="11" t="s">
        <v>50</v>
      </c>
      <c r="L453" s="23"/>
      <c r="M453" s="11"/>
      <c r="N453" s="9" t="s">
        <v>30</v>
      </c>
      <c r="O453" s="11" t="s">
        <v>51</v>
      </c>
      <c r="P453" s="11" t="s">
        <v>294</v>
      </c>
      <c r="Q453" s="11"/>
    </row>
    <row r="454" spans="1:17" ht="66" x14ac:dyDescent="0.25">
      <c r="A454" s="13">
        <v>443</v>
      </c>
      <c r="B454" s="16" t="s">
        <v>1744</v>
      </c>
      <c r="C454" s="9">
        <v>19</v>
      </c>
      <c r="D454" s="9" t="str">
        <f t="shared" ca="1" si="10"/>
        <v>19 বছর 4 মাস 13 দিন</v>
      </c>
      <c r="E454" s="11" t="s">
        <v>1745</v>
      </c>
      <c r="F454" s="14">
        <v>31187</v>
      </c>
      <c r="G454" s="17">
        <v>45994</v>
      </c>
      <c r="H454" s="11" t="s">
        <v>1741</v>
      </c>
      <c r="I454" s="9" t="s">
        <v>843</v>
      </c>
      <c r="J454" s="11" t="s">
        <v>1738</v>
      </c>
      <c r="K454" s="11" t="s">
        <v>50</v>
      </c>
      <c r="L454" s="23"/>
      <c r="M454" s="11"/>
      <c r="N454" s="9" t="s">
        <v>30</v>
      </c>
      <c r="O454" s="11" t="s">
        <v>100</v>
      </c>
      <c r="P454" s="16" t="s">
        <v>158</v>
      </c>
      <c r="Q454" s="11" t="s">
        <v>1746</v>
      </c>
    </row>
    <row r="455" spans="1:17" ht="66" x14ac:dyDescent="0.25">
      <c r="A455" s="13">
        <v>444</v>
      </c>
      <c r="B455" s="16" t="s">
        <v>1747</v>
      </c>
      <c r="C455" s="9">
        <v>19</v>
      </c>
      <c r="D455" s="9" t="str">
        <f t="shared" ca="1" si="10"/>
        <v>19 বছর 4 মাস 13 দিন</v>
      </c>
      <c r="E455" s="11" t="s">
        <v>1748</v>
      </c>
      <c r="F455" s="14">
        <v>31188</v>
      </c>
      <c r="G455" s="17">
        <v>45994</v>
      </c>
      <c r="H455" s="11" t="s">
        <v>1749</v>
      </c>
      <c r="I455" s="9" t="s">
        <v>843</v>
      </c>
      <c r="J455" s="11" t="s">
        <v>1738</v>
      </c>
      <c r="K455" s="11" t="s">
        <v>50</v>
      </c>
      <c r="L455" s="23">
        <v>46021</v>
      </c>
      <c r="M455" s="11"/>
      <c r="N455" s="9" t="s">
        <v>30</v>
      </c>
      <c r="O455" s="11" t="s">
        <v>100</v>
      </c>
      <c r="P455" s="11" t="s">
        <v>350</v>
      </c>
      <c r="Q455" s="11"/>
    </row>
    <row r="456" spans="1:17" ht="66" x14ac:dyDescent="0.25">
      <c r="A456" s="13">
        <v>445</v>
      </c>
      <c r="B456" s="16" t="s">
        <v>1750</v>
      </c>
      <c r="C456" s="9">
        <v>20</v>
      </c>
      <c r="D456" s="9" t="str">
        <f t="shared" ca="1" si="10"/>
        <v>20 বছর 4 মাস 13 দিন</v>
      </c>
      <c r="E456" s="11" t="s">
        <v>1751</v>
      </c>
      <c r="F456" s="14">
        <v>31189</v>
      </c>
      <c r="G456" s="17">
        <v>45994</v>
      </c>
      <c r="H456" s="11" t="s">
        <v>1752</v>
      </c>
      <c r="I456" s="9" t="s">
        <v>202</v>
      </c>
      <c r="J456" s="11" t="s">
        <v>1738</v>
      </c>
      <c r="K456" s="11" t="s">
        <v>50</v>
      </c>
      <c r="L456" s="23">
        <v>46021</v>
      </c>
      <c r="M456" s="11"/>
      <c r="N456" s="9" t="s">
        <v>30</v>
      </c>
      <c r="O456" s="11" t="s">
        <v>110</v>
      </c>
      <c r="P456" s="9" t="s">
        <v>356</v>
      </c>
      <c r="Q456" s="11"/>
    </row>
    <row r="457" spans="1:17" ht="66" x14ac:dyDescent="0.25">
      <c r="A457" s="13">
        <v>446</v>
      </c>
      <c r="B457" s="16" t="s">
        <v>1753</v>
      </c>
      <c r="C457" s="9">
        <v>20</v>
      </c>
      <c r="D457" s="9" t="str">
        <f t="shared" ca="1" si="10"/>
        <v>20 বছর 4 মাস 13 দিন</v>
      </c>
      <c r="E457" s="11" t="s">
        <v>1754</v>
      </c>
      <c r="F457" s="14">
        <v>31190</v>
      </c>
      <c r="G457" s="17">
        <v>45994</v>
      </c>
      <c r="H457" s="11" t="s">
        <v>1755</v>
      </c>
      <c r="I457" s="9" t="s">
        <v>843</v>
      </c>
      <c r="J457" s="11" t="s">
        <v>1756</v>
      </c>
      <c r="K457" s="11" t="s">
        <v>50</v>
      </c>
      <c r="L457" s="23"/>
      <c r="M457" s="11"/>
      <c r="N457" s="9" t="s">
        <v>30</v>
      </c>
      <c r="O457" s="11" t="s">
        <v>110</v>
      </c>
      <c r="P457" s="11" t="s">
        <v>361</v>
      </c>
      <c r="Q457" s="11"/>
    </row>
    <row r="458" spans="1:17" ht="66" x14ac:dyDescent="0.25">
      <c r="A458" s="13">
        <v>447</v>
      </c>
      <c r="B458" s="16" t="s">
        <v>1757</v>
      </c>
      <c r="C458" s="9">
        <v>13</v>
      </c>
      <c r="D458" s="9" t="str">
        <f t="shared" ca="1" si="10"/>
        <v>13 বছর 4 মাস 13 দিন</v>
      </c>
      <c r="E458" s="11" t="s">
        <v>1758</v>
      </c>
      <c r="F458" s="14">
        <v>31193</v>
      </c>
      <c r="G458" s="17">
        <v>45994</v>
      </c>
      <c r="H458" s="11" t="s">
        <v>1759</v>
      </c>
      <c r="I458" s="9" t="s">
        <v>27</v>
      </c>
      <c r="J458" s="11" t="s">
        <v>1248</v>
      </c>
      <c r="K458" s="11" t="s">
        <v>50</v>
      </c>
      <c r="L458" s="23">
        <v>46019</v>
      </c>
      <c r="M458" s="11"/>
      <c r="N458" s="9" t="s">
        <v>30</v>
      </c>
      <c r="O458" s="11" t="s">
        <v>31</v>
      </c>
      <c r="P458" s="16" t="s">
        <v>158</v>
      </c>
      <c r="Q458" s="11" t="s">
        <v>1602</v>
      </c>
    </row>
    <row r="459" spans="1:17" ht="66" x14ac:dyDescent="0.25">
      <c r="A459" s="13">
        <v>448</v>
      </c>
      <c r="B459" s="16" t="s">
        <v>1760</v>
      </c>
      <c r="C459" s="9">
        <v>16</v>
      </c>
      <c r="D459" s="9" t="str">
        <f t="shared" ca="1" si="10"/>
        <v>16 বছর 4 মাস 13 দিন</v>
      </c>
      <c r="E459" s="11" t="s">
        <v>1761</v>
      </c>
      <c r="F459" s="14">
        <v>31196</v>
      </c>
      <c r="G459" s="17">
        <v>45994</v>
      </c>
      <c r="H459" s="11" t="s">
        <v>1762</v>
      </c>
      <c r="I459" s="9" t="s">
        <v>292</v>
      </c>
      <c r="J459" s="11" t="s">
        <v>1647</v>
      </c>
      <c r="K459" s="11" t="s">
        <v>50</v>
      </c>
      <c r="L459" s="23">
        <v>46015</v>
      </c>
      <c r="M459" s="11"/>
      <c r="N459" s="9" t="s">
        <v>30</v>
      </c>
      <c r="O459" s="11" t="s">
        <v>51</v>
      </c>
      <c r="P459" s="9" t="s">
        <v>391</v>
      </c>
      <c r="Q459" s="11"/>
    </row>
    <row r="460" spans="1:17" ht="66" x14ac:dyDescent="0.25">
      <c r="A460" s="13">
        <v>449</v>
      </c>
      <c r="B460" s="16" t="s">
        <v>1763</v>
      </c>
      <c r="C460" s="9">
        <v>18</v>
      </c>
      <c r="D460" s="9" t="str">
        <f t="shared" ca="1" si="10"/>
        <v>18 বছর 4 মাস 12 দিন</v>
      </c>
      <c r="E460" s="11" t="s">
        <v>1764</v>
      </c>
      <c r="F460" s="14">
        <v>31199</v>
      </c>
      <c r="G460" s="17">
        <v>45995</v>
      </c>
      <c r="H460" s="11" t="s">
        <v>1765</v>
      </c>
      <c r="I460" s="9" t="s">
        <v>27</v>
      </c>
      <c r="J460" s="11" t="s">
        <v>1766</v>
      </c>
      <c r="K460" s="11" t="s">
        <v>50</v>
      </c>
      <c r="L460" s="23">
        <v>45689</v>
      </c>
      <c r="M460" s="11"/>
      <c r="N460" s="9" t="s">
        <v>30</v>
      </c>
      <c r="O460" s="11" t="s">
        <v>100</v>
      </c>
      <c r="P460" s="16" t="s">
        <v>158</v>
      </c>
      <c r="Q460" s="11" t="s">
        <v>1602</v>
      </c>
    </row>
    <row r="461" spans="1:17" ht="82.5" x14ac:dyDescent="0.25">
      <c r="A461" s="13">
        <v>450</v>
      </c>
      <c r="B461" s="16" t="s">
        <v>1767</v>
      </c>
      <c r="C461" s="9">
        <v>16</v>
      </c>
      <c r="D461" s="9" t="str">
        <f t="shared" ca="1" si="10"/>
        <v>16 বছর 4 মাস 10 দিন</v>
      </c>
      <c r="E461" s="11" t="s">
        <v>1768</v>
      </c>
      <c r="F461" s="14">
        <v>31205</v>
      </c>
      <c r="G461" s="17">
        <v>45997</v>
      </c>
      <c r="H461" s="11" t="s">
        <v>1769</v>
      </c>
      <c r="I461" s="9" t="s">
        <v>265</v>
      </c>
      <c r="J461" s="11" t="s">
        <v>1770</v>
      </c>
      <c r="K461" s="11" t="s">
        <v>50</v>
      </c>
      <c r="L461" s="23"/>
      <c r="M461" s="11"/>
      <c r="N461" s="9" t="s">
        <v>30</v>
      </c>
      <c r="O461" s="11" t="s">
        <v>110</v>
      </c>
      <c r="P461" s="9" t="s">
        <v>94</v>
      </c>
      <c r="Q461" s="11"/>
    </row>
    <row r="462" spans="1:17" ht="66" x14ac:dyDescent="0.25">
      <c r="A462" s="13">
        <v>451</v>
      </c>
      <c r="B462" s="16" t="s">
        <v>1771</v>
      </c>
      <c r="C462" s="9">
        <v>17</v>
      </c>
      <c r="D462" s="9" t="str">
        <f t="shared" ca="1" si="10"/>
        <v>17 বছর 4 মাস 6 দিন</v>
      </c>
      <c r="E462" s="11" t="s">
        <v>1772</v>
      </c>
      <c r="F462" s="14">
        <v>31218</v>
      </c>
      <c r="G462" s="17">
        <v>46001</v>
      </c>
      <c r="H462" s="11" t="s">
        <v>1773</v>
      </c>
      <c r="I462" s="9" t="s">
        <v>265</v>
      </c>
      <c r="J462" s="11" t="s">
        <v>1637</v>
      </c>
      <c r="K462" s="11" t="s">
        <v>50</v>
      </c>
      <c r="L462" s="23">
        <v>46029</v>
      </c>
      <c r="M462" s="11"/>
      <c r="N462" s="9" t="s">
        <v>30</v>
      </c>
      <c r="O462" s="11" t="s">
        <v>110</v>
      </c>
      <c r="P462" s="9" t="s">
        <v>478</v>
      </c>
      <c r="Q462" s="11"/>
    </row>
    <row r="463" spans="1:17" ht="66" x14ac:dyDescent="0.25">
      <c r="A463" s="13">
        <v>452</v>
      </c>
      <c r="B463" s="16" t="s">
        <v>1774</v>
      </c>
      <c r="C463" s="9">
        <v>16</v>
      </c>
      <c r="D463" s="9" t="str">
        <f t="shared" ca="1" si="10"/>
        <v>16 বছর 4 মাস 6 দিন</v>
      </c>
      <c r="E463" s="11" t="s">
        <v>1775</v>
      </c>
      <c r="F463" s="14">
        <v>31220</v>
      </c>
      <c r="G463" s="17">
        <v>46001</v>
      </c>
      <c r="H463" s="11" t="s">
        <v>1776</v>
      </c>
      <c r="I463" s="9" t="s">
        <v>27</v>
      </c>
      <c r="J463" s="11" t="s">
        <v>1777</v>
      </c>
      <c r="K463" s="11" t="s">
        <v>50</v>
      </c>
      <c r="L463" s="23" t="s">
        <v>1778</v>
      </c>
      <c r="M463" s="11"/>
      <c r="N463" s="9" t="s">
        <v>30</v>
      </c>
      <c r="O463" s="11" t="s">
        <v>51</v>
      </c>
      <c r="P463" s="9" t="s">
        <v>69</v>
      </c>
      <c r="Q463" s="11"/>
    </row>
    <row r="464" spans="1:17" ht="66" x14ac:dyDescent="0.25">
      <c r="A464" s="13">
        <v>453</v>
      </c>
      <c r="B464" s="16" t="s">
        <v>1779</v>
      </c>
      <c r="C464" s="9">
        <v>13</v>
      </c>
      <c r="D464" s="9" t="str">
        <f t="shared" ca="1" si="10"/>
        <v>13 বছর 4 মাস 6 দিন</v>
      </c>
      <c r="E464" s="11" t="s">
        <v>1780</v>
      </c>
      <c r="F464" s="14">
        <v>31222</v>
      </c>
      <c r="G464" s="17">
        <v>46001</v>
      </c>
      <c r="H464" s="11" t="s">
        <v>1781</v>
      </c>
      <c r="I464" s="9" t="s">
        <v>265</v>
      </c>
      <c r="J464" s="11" t="s">
        <v>1782</v>
      </c>
      <c r="K464" s="11" t="s">
        <v>50</v>
      </c>
      <c r="L464" s="23">
        <v>46034</v>
      </c>
      <c r="M464" s="11"/>
      <c r="N464" s="9" t="s">
        <v>30</v>
      </c>
      <c r="O464" s="11" t="s">
        <v>31</v>
      </c>
      <c r="P464" s="9" t="s">
        <v>805</v>
      </c>
      <c r="Q464" s="11"/>
    </row>
    <row r="465" spans="1:17" ht="66" x14ac:dyDescent="0.25">
      <c r="A465" s="13">
        <v>454</v>
      </c>
      <c r="B465" s="16" t="s">
        <v>1783</v>
      </c>
      <c r="C465" s="9"/>
      <c r="D465" s="9" t="str">
        <f t="shared" ca="1" si="10"/>
        <v>0 বছর 4 মাস 5 দিন</v>
      </c>
      <c r="E465" s="11" t="s">
        <v>1784</v>
      </c>
      <c r="F465" s="14">
        <v>31223</v>
      </c>
      <c r="G465" s="17">
        <v>46002</v>
      </c>
      <c r="H465" s="11" t="s">
        <v>1785</v>
      </c>
      <c r="I465" s="9" t="s">
        <v>843</v>
      </c>
      <c r="J465" s="11" t="s">
        <v>1786</v>
      </c>
      <c r="K465" s="11" t="s">
        <v>50</v>
      </c>
      <c r="L465" s="23">
        <v>46075</v>
      </c>
      <c r="M465" s="11"/>
      <c r="N465" s="9" t="s">
        <v>30</v>
      </c>
      <c r="O465" s="11" t="s">
        <v>31</v>
      </c>
      <c r="P465" s="16" t="s">
        <v>158</v>
      </c>
      <c r="Q465" s="11" t="s">
        <v>1787</v>
      </c>
    </row>
    <row r="466" spans="1:17" ht="132" x14ac:dyDescent="0.25">
      <c r="A466" s="13">
        <v>455</v>
      </c>
      <c r="B466" s="16" t="s">
        <v>1788</v>
      </c>
      <c r="C466" s="9">
        <v>15</v>
      </c>
      <c r="D466" s="9" t="str">
        <f t="shared" ca="1" si="10"/>
        <v>15 বছর 4 মাস 5 দিন</v>
      </c>
      <c r="E466" s="11" t="s">
        <v>1789</v>
      </c>
      <c r="F466" s="14">
        <v>31224</v>
      </c>
      <c r="G466" s="17">
        <v>46002</v>
      </c>
      <c r="H466" s="11" t="s">
        <v>1790</v>
      </c>
      <c r="I466" s="9" t="s">
        <v>27</v>
      </c>
      <c r="J466" s="11" t="s">
        <v>1261</v>
      </c>
      <c r="K466" s="11" t="s">
        <v>50</v>
      </c>
      <c r="L466" s="23" t="s">
        <v>1791</v>
      </c>
      <c r="M466" s="11"/>
      <c r="N466" s="9" t="s">
        <v>30</v>
      </c>
      <c r="O466" s="11" t="s">
        <v>31</v>
      </c>
      <c r="P466" s="11" t="s">
        <v>174</v>
      </c>
      <c r="Q466" s="11"/>
    </row>
    <row r="467" spans="1:17" ht="66" x14ac:dyDescent="0.25">
      <c r="A467" s="13">
        <v>456</v>
      </c>
      <c r="B467" s="16" t="s">
        <v>1792</v>
      </c>
      <c r="C467" s="9">
        <v>16</v>
      </c>
      <c r="D467" s="9" t="str">
        <f t="shared" ca="1" si="10"/>
        <v>16 বছর 4 মাস 4 দিন</v>
      </c>
      <c r="E467" s="11" t="s">
        <v>1793</v>
      </c>
      <c r="F467" s="14">
        <v>31227</v>
      </c>
      <c r="G467" s="17">
        <v>46003</v>
      </c>
      <c r="H467" s="11" t="s">
        <v>1794</v>
      </c>
      <c r="I467" s="9" t="s">
        <v>27</v>
      </c>
      <c r="J467" s="11" t="s">
        <v>1795</v>
      </c>
      <c r="K467" s="11" t="s">
        <v>50</v>
      </c>
      <c r="L467" s="23">
        <v>46056</v>
      </c>
      <c r="M467" s="11"/>
      <c r="N467" s="9" t="s">
        <v>30</v>
      </c>
      <c r="O467" s="11" t="s">
        <v>100</v>
      </c>
      <c r="P467" s="16" t="s">
        <v>158</v>
      </c>
      <c r="Q467" s="11" t="s">
        <v>1796</v>
      </c>
    </row>
    <row r="468" spans="1:17" ht="82.5" x14ac:dyDescent="0.25">
      <c r="A468" s="13">
        <v>457</v>
      </c>
      <c r="B468" s="16" t="s">
        <v>1797</v>
      </c>
      <c r="C468" s="9">
        <v>15</v>
      </c>
      <c r="D468" s="9" t="str">
        <f t="shared" ca="1" si="10"/>
        <v>15 বছর 4 মাস 4 দিন</v>
      </c>
      <c r="E468" s="11" t="s">
        <v>1798</v>
      </c>
      <c r="F468" s="14">
        <v>31229</v>
      </c>
      <c r="G468" s="17">
        <v>46003</v>
      </c>
      <c r="H468" s="11" t="s">
        <v>1799</v>
      </c>
      <c r="I468" s="9" t="s">
        <v>265</v>
      </c>
      <c r="J468" s="11" t="s">
        <v>1800</v>
      </c>
      <c r="K468" s="11" t="s">
        <v>50</v>
      </c>
      <c r="L468" s="23">
        <v>46069</v>
      </c>
      <c r="M468" s="11"/>
      <c r="N468" s="9" t="s">
        <v>30</v>
      </c>
      <c r="O468" s="11" t="s">
        <v>31</v>
      </c>
      <c r="P468" s="9" t="s">
        <v>217</v>
      </c>
      <c r="Q468" s="11"/>
    </row>
    <row r="469" spans="1:17" ht="66" x14ac:dyDescent="0.25">
      <c r="A469" s="13">
        <v>458</v>
      </c>
      <c r="B469" s="16" t="s">
        <v>1801</v>
      </c>
      <c r="C469" s="9">
        <v>14</v>
      </c>
      <c r="D469" s="9" t="str">
        <f t="shared" ca="1" si="10"/>
        <v>14 বছর 4 মাস 4 দিন</v>
      </c>
      <c r="E469" s="11" t="s">
        <v>1802</v>
      </c>
      <c r="F469" s="14">
        <v>31231</v>
      </c>
      <c r="G469" s="17">
        <v>46003</v>
      </c>
      <c r="H469" s="11" t="s">
        <v>1803</v>
      </c>
      <c r="I469" s="9" t="s">
        <v>38</v>
      </c>
      <c r="J469" s="11" t="s">
        <v>1804</v>
      </c>
      <c r="K469" s="11" t="s">
        <v>50</v>
      </c>
      <c r="L469" s="23"/>
      <c r="M469" s="11"/>
      <c r="N469" s="9" t="s">
        <v>30</v>
      </c>
      <c r="O469" s="11" t="s">
        <v>31</v>
      </c>
      <c r="P469" s="16" t="s">
        <v>158</v>
      </c>
      <c r="Q469" s="11" t="s">
        <v>1025</v>
      </c>
    </row>
    <row r="470" spans="1:17" ht="66" x14ac:dyDescent="0.25">
      <c r="A470" s="13">
        <v>459</v>
      </c>
      <c r="B470" s="16" t="s">
        <v>1805</v>
      </c>
      <c r="C470" s="9">
        <v>18</v>
      </c>
      <c r="D470" s="9" t="str">
        <f t="shared" ca="1" si="10"/>
        <v>18 বছর 4 মাস 3 দিন</v>
      </c>
      <c r="E470" s="11" t="s">
        <v>1806</v>
      </c>
      <c r="F470" s="14">
        <v>31232</v>
      </c>
      <c r="G470" s="17">
        <v>46004</v>
      </c>
      <c r="H470" s="11" t="s">
        <v>1807</v>
      </c>
      <c r="I470" s="9" t="s">
        <v>265</v>
      </c>
      <c r="J470" s="11" t="s">
        <v>1435</v>
      </c>
      <c r="K470" s="11" t="s">
        <v>50</v>
      </c>
      <c r="L470" s="23"/>
      <c r="M470" s="11"/>
      <c r="N470" s="9" t="s">
        <v>30</v>
      </c>
      <c r="O470" s="11" t="s">
        <v>51</v>
      </c>
      <c r="P470" s="9" t="s">
        <v>52</v>
      </c>
      <c r="Q470" s="11"/>
    </row>
    <row r="471" spans="1:17" ht="66" x14ac:dyDescent="0.25">
      <c r="A471" s="13">
        <v>460</v>
      </c>
      <c r="B471" s="16" t="s">
        <v>1808</v>
      </c>
      <c r="C471" s="9">
        <v>16</v>
      </c>
      <c r="D471" s="9" t="str">
        <f t="shared" ca="1" si="10"/>
        <v>16 বছর 4 মাস 3 দিন</v>
      </c>
      <c r="E471" s="11" t="s">
        <v>1809</v>
      </c>
      <c r="F471" s="14">
        <v>31233</v>
      </c>
      <c r="G471" s="17">
        <v>46004</v>
      </c>
      <c r="H471" s="11" t="s">
        <v>1810</v>
      </c>
      <c r="I471" s="9" t="s">
        <v>48</v>
      </c>
      <c r="J471" s="11" t="s">
        <v>1435</v>
      </c>
      <c r="K471" s="11" t="s">
        <v>50</v>
      </c>
      <c r="L471" s="23"/>
      <c r="M471" s="11"/>
      <c r="N471" s="9" t="s">
        <v>30</v>
      </c>
      <c r="O471" s="11" t="s">
        <v>51</v>
      </c>
      <c r="P471" s="9" t="s">
        <v>529</v>
      </c>
      <c r="Q471" s="11"/>
    </row>
    <row r="472" spans="1:17" ht="66" x14ac:dyDescent="0.25">
      <c r="A472" s="13">
        <v>461</v>
      </c>
      <c r="B472" s="16" t="s">
        <v>1811</v>
      </c>
      <c r="C472" s="9">
        <v>14</v>
      </c>
      <c r="D472" s="9" t="str">
        <f t="shared" ca="1" si="10"/>
        <v>14 বছর 4 মাস 3 দিন</v>
      </c>
      <c r="E472" s="11" t="s">
        <v>1812</v>
      </c>
      <c r="F472" s="14">
        <v>31234</v>
      </c>
      <c r="G472" s="17">
        <v>46004</v>
      </c>
      <c r="H472" s="11" t="s">
        <v>1813</v>
      </c>
      <c r="I472" s="9" t="s">
        <v>38</v>
      </c>
      <c r="J472" s="11" t="s">
        <v>1435</v>
      </c>
      <c r="K472" s="11" t="s">
        <v>50</v>
      </c>
      <c r="L472" s="23"/>
      <c r="M472" s="11"/>
      <c r="N472" s="9" t="s">
        <v>30</v>
      </c>
      <c r="O472" s="11" t="s">
        <v>31</v>
      </c>
      <c r="P472" s="9" t="s">
        <v>391</v>
      </c>
      <c r="Q472" s="11"/>
    </row>
    <row r="473" spans="1:17" ht="66" x14ac:dyDescent="0.25">
      <c r="A473" s="13">
        <v>462</v>
      </c>
      <c r="B473" s="16" t="s">
        <v>1814</v>
      </c>
      <c r="C473" s="9">
        <v>16</v>
      </c>
      <c r="D473" s="9" t="str">
        <f t="shared" ca="1" si="10"/>
        <v>16 বছর 4 মাস 3 দিন</v>
      </c>
      <c r="E473" s="11" t="s">
        <v>1815</v>
      </c>
      <c r="F473" s="14">
        <v>31235</v>
      </c>
      <c r="G473" s="17">
        <v>46004</v>
      </c>
      <c r="H473" s="11" t="s">
        <v>1816</v>
      </c>
      <c r="I473" s="9" t="s">
        <v>38</v>
      </c>
      <c r="J473" s="11" t="s">
        <v>1817</v>
      </c>
      <c r="K473" s="11" t="s">
        <v>50</v>
      </c>
      <c r="L473" s="23">
        <v>46030</v>
      </c>
      <c r="M473" s="11"/>
      <c r="N473" s="9" t="s">
        <v>30</v>
      </c>
      <c r="O473" s="11" t="s">
        <v>100</v>
      </c>
      <c r="P473" s="11" t="s">
        <v>32</v>
      </c>
      <c r="Q473" s="11"/>
    </row>
    <row r="474" spans="1:17" ht="66" x14ac:dyDescent="0.25">
      <c r="A474" s="13">
        <v>463</v>
      </c>
      <c r="B474" s="16" t="s">
        <v>1818</v>
      </c>
      <c r="C474" s="9">
        <v>19</v>
      </c>
      <c r="D474" s="9" t="str">
        <f t="shared" ca="1" si="10"/>
        <v>19 বছর 4 মাস 3 দিন</v>
      </c>
      <c r="E474" s="11" t="s">
        <v>1819</v>
      </c>
      <c r="F474" s="14">
        <v>31236</v>
      </c>
      <c r="G474" s="17">
        <v>46004</v>
      </c>
      <c r="H474" s="11" t="s">
        <v>1820</v>
      </c>
      <c r="I474" s="9" t="s">
        <v>27</v>
      </c>
      <c r="J474" s="11" t="s">
        <v>1209</v>
      </c>
      <c r="K474" s="11" t="s">
        <v>50</v>
      </c>
      <c r="L474" s="23"/>
      <c r="M474" s="11"/>
      <c r="N474" s="9" t="s">
        <v>30</v>
      </c>
      <c r="O474" s="11" t="s">
        <v>51</v>
      </c>
      <c r="P474" s="11" t="s">
        <v>32</v>
      </c>
      <c r="Q474" s="11"/>
    </row>
    <row r="475" spans="1:17" ht="66" x14ac:dyDescent="0.25">
      <c r="A475" s="13">
        <v>464</v>
      </c>
      <c r="B475" s="16" t="s">
        <v>1821</v>
      </c>
      <c r="C475" s="9">
        <v>15</v>
      </c>
      <c r="D475" s="9" t="str">
        <f t="shared" ca="1" si="10"/>
        <v>15 বছর 4 মাস 3 দিন</v>
      </c>
      <c r="E475" s="11" t="s">
        <v>1822</v>
      </c>
      <c r="F475" s="14">
        <v>31237</v>
      </c>
      <c r="G475" s="17">
        <v>46004</v>
      </c>
      <c r="H475" s="11" t="s">
        <v>1823</v>
      </c>
      <c r="I475" s="9" t="s">
        <v>265</v>
      </c>
      <c r="J475" s="11" t="s">
        <v>1209</v>
      </c>
      <c r="K475" s="11" t="s">
        <v>50</v>
      </c>
      <c r="L475" s="23"/>
      <c r="M475" s="11"/>
      <c r="N475" s="9" t="s">
        <v>30</v>
      </c>
      <c r="O475" s="11" t="s">
        <v>31</v>
      </c>
      <c r="P475" s="9" t="s">
        <v>52</v>
      </c>
      <c r="Q475" s="11"/>
    </row>
    <row r="476" spans="1:17" ht="66" x14ac:dyDescent="0.25">
      <c r="A476" s="13">
        <v>465</v>
      </c>
      <c r="B476" s="16" t="s">
        <v>1824</v>
      </c>
      <c r="C476" s="9">
        <v>16</v>
      </c>
      <c r="D476" s="9" t="str">
        <f t="shared" ca="1" si="10"/>
        <v>16 বছর 4 মাস 3 দিন</v>
      </c>
      <c r="E476" s="11" t="s">
        <v>1825</v>
      </c>
      <c r="F476" s="14">
        <v>31238</v>
      </c>
      <c r="G476" s="17">
        <v>46004</v>
      </c>
      <c r="H476" s="11" t="s">
        <v>1826</v>
      </c>
      <c r="I476" s="9" t="s">
        <v>48</v>
      </c>
      <c r="J476" s="11" t="s">
        <v>1343</v>
      </c>
      <c r="K476" s="11" t="s">
        <v>50</v>
      </c>
      <c r="L476" s="23">
        <v>45672</v>
      </c>
      <c r="M476" s="11"/>
      <c r="N476" s="9" t="s">
        <v>30</v>
      </c>
      <c r="O476" s="11" t="s">
        <v>100</v>
      </c>
      <c r="P476" s="11" t="s">
        <v>57</v>
      </c>
      <c r="Q476" s="11"/>
    </row>
    <row r="477" spans="1:17" ht="82.5" x14ac:dyDescent="0.25">
      <c r="A477" s="13">
        <v>466</v>
      </c>
      <c r="B477" s="16" t="s">
        <v>1827</v>
      </c>
      <c r="C477" s="9">
        <v>14</v>
      </c>
      <c r="D477" s="9" t="str">
        <f t="shared" ca="1" si="10"/>
        <v>14 বছর 4 মাস 2 দিন</v>
      </c>
      <c r="E477" s="11" t="s">
        <v>1828</v>
      </c>
      <c r="F477" s="14">
        <v>31242</v>
      </c>
      <c r="G477" s="17">
        <v>46005</v>
      </c>
      <c r="H477" s="11" t="s">
        <v>1829</v>
      </c>
      <c r="I477" s="9" t="s">
        <v>27</v>
      </c>
      <c r="J477" s="11" t="s">
        <v>1830</v>
      </c>
      <c r="K477" s="11" t="s">
        <v>50</v>
      </c>
      <c r="L477" s="23">
        <v>46029</v>
      </c>
      <c r="M477" s="11"/>
      <c r="N477" s="9" t="s">
        <v>30</v>
      </c>
      <c r="O477" s="11" t="s">
        <v>31</v>
      </c>
      <c r="P477" s="16" t="s">
        <v>76</v>
      </c>
      <c r="Q477" s="11"/>
    </row>
    <row r="478" spans="1:17" ht="82.5" x14ac:dyDescent="0.25">
      <c r="A478" s="13">
        <v>467</v>
      </c>
      <c r="B478" s="16" t="s">
        <v>1831</v>
      </c>
      <c r="C478" s="9">
        <v>14</v>
      </c>
      <c r="D478" s="9" t="str">
        <f t="shared" ca="1" si="10"/>
        <v>14 বছর 4 মাস 2 দিন</v>
      </c>
      <c r="E478" s="11" t="s">
        <v>1832</v>
      </c>
      <c r="F478" s="14">
        <v>31243</v>
      </c>
      <c r="G478" s="17">
        <v>46005</v>
      </c>
      <c r="H478" s="11" t="s">
        <v>1833</v>
      </c>
      <c r="I478" s="9" t="s">
        <v>265</v>
      </c>
      <c r="J478" s="11" t="s">
        <v>1830</v>
      </c>
      <c r="K478" s="11" t="s">
        <v>50</v>
      </c>
      <c r="L478" s="23">
        <v>46005</v>
      </c>
      <c r="M478" s="11"/>
      <c r="N478" s="9" t="s">
        <v>30</v>
      </c>
      <c r="O478" s="11" t="s">
        <v>31</v>
      </c>
      <c r="P478" s="16" t="s">
        <v>1538</v>
      </c>
      <c r="Q478" s="11"/>
    </row>
    <row r="479" spans="1:17" ht="66" x14ac:dyDescent="0.25">
      <c r="A479" s="13">
        <v>468</v>
      </c>
      <c r="B479" s="16" t="s">
        <v>1834</v>
      </c>
      <c r="C479" s="9">
        <v>17</v>
      </c>
      <c r="D479" s="9" t="str">
        <f t="shared" ca="1" si="10"/>
        <v>17 বছর 4 মাস 2 দিন</v>
      </c>
      <c r="E479" s="11" t="s">
        <v>1835</v>
      </c>
      <c r="F479" s="14">
        <v>31244</v>
      </c>
      <c r="G479" s="17">
        <v>46005</v>
      </c>
      <c r="H479" s="11" t="s">
        <v>1836</v>
      </c>
      <c r="I479" s="9" t="s">
        <v>38</v>
      </c>
      <c r="J479" s="11" t="s">
        <v>985</v>
      </c>
      <c r="K479" s="11" t="s">
        <v>50</v>
      </c>
      <c r="L479" s="23">
        <v>46035</v>
      </c>
      <c r="M479" s="11"/>
      <c r="N479" s="9" t="s">
        <v>30</v>
      </c>
      <c r="O479" s="11" t="s">
        <v>51</v>
      </c>
      <c r="P479" s="16" t="s">
        <v>158</v>
      </c>
      <c r="Q479" s="11" t="s">
        <v>819</v>
      </c>
    </row>
    <row r="480" spans="1:17" ht="66" x14ac:dyDescent="0.25">
      <c r="A480" s="13">
        <v>469</v>
      </c>
      <c r="B480" s="16" t="s">
        <v>1837</v>
      </c>
      <c r="C480" s="9">
        <v>17</v>
      </c>
      <c r="D480" s="9" t="str">
        <f t="shared" ca="1" si="10"/>
        <v>17 বছর 4 মাস 1 দিন</v>
      </c>
      <c r="E480" s="11" t="s">
        <v>1838</v>
      </c>
      <c r="F480" s="14">
        <v>31247</v>
      </c>
      <c r="G480" s="17">
        <v>46006</v>
      </c>
      <c r="H480" s="11" t="s">
        <v>1839</v>
      </c>
      <c r="I480" s="9" t="s">
        <v>265</v>
      </c>
      <c r="J480" s="11" t="s">
        <v>1711</v>
      </c>
      <c r="K480" s="11" t="s">
        <v>50</v>
      </c>
      <c r="L480" s="23">
        <v>46036</v>
      </c>
      <c r="M480" s="11"/>
      <c r="N480" s="9" t="s">
        <v>30</v>
      </c>
      <c r="O480" s="11" t="s">
        <v>51</v>
      </c>
      <c r="P480" s="9" t="s">
        <v>40</v>
      </c>
      <c r="Q480" s="11"/>
    </row>
    <row r="481" spans="1:17" ht="66" x14ac:dyDescent="0.25">
      <c r="A481" s="13">
        <v>470</v>
      </c>
      <c r="B481" s="16" t="s">
        <v>1840</v>
      </c>
      <c r="C481" s="9">
        <v>16</v>
      </c>
      <c r="D481" s="9" t="str">
        <f t="shared" ca="1" si="10"/>
        <v>16 বছর 4 মাস 1 দিন</v>
      </c>
      <c r="E481" s="11" t="s">
        <v>1841</v>
      </c>
      <c r="F481" s="14">
        <v>31248</v>
      </c>
      <c r="G481" s="17">
        <v>46006</v>
      </c>
      <c r="H481" s="11" t="s">
        <v>1842</v>
      </c>
      <c r="I481" s="9" t="s">
        <v>202</v>
      </c>
      <c r="J481" s="11" t="s">
        <v>1711</v>
      </c>
      <c r="K481" s="11" t="s">
        <v>50</v>
      </c>
      <c r="L481" s="23"/>
      <c r="M481" s="11"/>
      <c r="N481" s="9" t="s">
        <v>30</v>
      </c>
      <c r="O481" s="11" t="s">
        <v>51</v>
      </c>
      <c r="P481" s="16" t="s">
        <v>158</v>
      </c>
      <c r="Q481" s="11" t="s">
        <v>283</v>
      </c>
    </row>
    <row r="482" spans="1:17" ht="66" x14ac:dyDescent="0.25">
      <c r="A482" s="13">
        <v>471</v>
      </c>
      <c r="B482" s="16" t="s">
        <v>1843</v>
      </c>
      <c r="C482" s="9">
        <v>16</v>
      </c>
      <c r="D482" s="9" t="str">
        <f t="shared" ca="1" si="10"/>
        <v>16 বছর 4 মাস 1 দিন</v>
      </c>
      <c r="E482" s="11" t="s">
        <v>1844</v>
      </c>
      <c r="F482" s="14">
        <v>31249</v>
      </c>
      <c r="G482" s="17">
        <v>46006</v>
      </c>
      <c r="H482" s="11" t="s">
        <v>1842</v>
      </c>
      <c r="I482" s="9" t="s">
        <v>202</v>
      </c>
      <c r="J482" s="11" t="s">
        <v>1711</v>
      </c>
      <c r="K482" s="11" t="s">
        <v>50</v>
      </c>
      <c r="L482" s="23"/>
      <c r="M482" s="11"/>
      <c r="N482" s="9" t="s">
        <v>30</v>
      </c>
      <c r="O482" s="11" t="s">
        <v>51</v>
      </c>
      <c r="P482" s="16" t="s">
        <v>158</v>
      </c>
      <c r="Q482" s="11" t="s">
        <v>1845</v>
      </c>
    </row>
    <row r="483" spans="1:17" ht="66" x14ac:dyDescent="0.25">
      <c r="A483" s="13">
        <v>472</v>
      </c>
      <c r="B483" s="16" t="s">
        <v>1846</v>
      </c>
      <c r="C483" s="9">
        <v>15</v>
      </c>
      <c r="D483" s="9" t="str">
        <f t="shared" ca="1" si="10"/>
        <v>15 বছর 4 মাস 1 দিন</v>
      </c>
      <c r="E483" s="11" t="s">
        <v>1841</v>
      </c>
      <c r="F483" s="14">
        <v>31250</v>
      </c>
      <c r="G483" s="17">
        <v>46006</v>
      </c>
      <c r="H483" s="11" t="s">
        <v>1842</v>
      </c>
      <c r="I483" s="9" t="s">
        <v>202</v>
      </c>
      <c r="J483" s="11" t="s">
        <v>1711</v>
      </c>
      <c r="K483" s="11" t="s">
        <v>50</v>
      </c>
      <c r="L483" s="23"/>
      <c r="M483" s="11"/>
      <c r="N483" s="9" t="s">
        <v>30</v>
      </c>
      <c r="O483" s="11" t="s">
        <v>31</v>
      </c>
      <c r="P483" s="16" t="s">
        <v>158</v>
      </c>
      <c r="Q483" s="11" t="s">
        <v>1847</v>
      </c>
    </row>
    <row r="484" spans="1:17" ht="66" x14ac:dyDescent="0.25">
      <c r="A484" s="13">
        <v>473</v>
      </c>
      <c r="B484" s="16" t="s">
        <v>1848</v>
      </c>
      <c r="C484" s="9">
        <v>15</v>
      </c>
      <c r="D484" s="9" t="str">
        <f t="shared" ca="1" si="10"/>
        <v>15 বছর 4 মাস 1 দিন</v>
      </c>
      <c r="E484" s="11" t="s">
        <v>1849</v>
      </c>
      <c r="F484" s="14">
        <v>31251</v>
      </c>
      <c r="G484" s="17">
        <v>46006</v>
      </c>
      <c r="H484" s="11" t="s">
        <v>1850</v>
      </c>
      <c r="I484" s="9" t="s">
        <v>38</v>
      </c>
      <c r="J484" s="11" t="s">
        <v>1851</v>
      </c>
      <c r="K484" s="11" t="s">
        <v>50</v>
      </c>
      <c r="L484" s="23">
        <v>46044</v>
      </c>
      <c r="M484" s="11"/>
      <c r="N484" s="9" t="s">
        <v>30</v>
      </c>
      <c r="O484" s="11" t="s">
        <v>31</v>
      </c>
      <c r="P484" s="9" t="s">
        <v>126</v>
      </c>
      <c r="Q484" s="11"/>
    </row>
    <row r="485" spans="1:17" ht="66" x14ac:dyDescent="0.25">
      <c r="A485" s="13">
        <v>474</v>
      </c>
      <c r="B485" s="16" t="s">
        <v>1852</v>
      </c>
      <c r="C485" s="9">
        <v>17</v>
      </c>
      <c r="D485" s="9" t="str">
        <f t="shared" ca="1" si="10"/>
        <v>17 বছর 3 মাস 30 দিন</v>
      </c>
      <c r="E485" s="11" t="s">
        <v>1853</v>
      </c>
      <c r="F485" s="14">
        <v>31257</v>
      </c>
      <c r="G485" s="17">
        <v>46008</v>
      </c>
      <c r="H485" s="11" t="s">
        <v>1854</v>
      </c>
      <c r="I485" s="9" t="s">
        <v>38</v>
      </c>
      <c r="J485" s="11" t="s">
        <v>868</v>
      </c>
      <c r="K485" s="11" t="s">
        <v>50</v>
      </c>
      <c r="L485" s="23">
        <v>46043</v>
      </c>
      <c r="M485" s="11"/>
      <c r="N485" s="9" t="s">
        <v>30</v>
      </c>
      <c r="O485" s="11" t="s">
        <v>100</v>
      </c>
      <c r="P485" s="9" t="s">
        <v>153</v>
      </c>
      <c r="Q485" s="11"/>
    </row>
    <row r="486" spans="1:17" ht="82.5" x14ac:dyDescent="0.25">
      <c r="A486" s="13">
        <v>475</v>
      </c>
      <c r="B486" s="16" t="s">
        <v>1855</v>
      </c>
      <c r="C486" s="9">
        <v>15</v>
      </c>
      <c r="D486" s="9" t="str">
        <f t="shared" ca="1" si="10"/>
        <v>15 বছর 3 মাস 30 দিন</v>
      </c>
      <c r="E486" s="11" t="s">
        <v>1856</v>
      </c>
      <c r="F486" s="14">
        <v>31259</v>
      </c>
      <c r="G486" s="17">
        <v>46008</v>
      </c>
      <c r="H486" s="11" t="s">
        <v>1857</v>
      </c>
      <c r="I486" s="9" t="s">
        <v>27</v>
      </c>
      <c r="J486" s="11" t="s">
        <v>1858</v>
      </c>
      <c r="K486" s="11" t="s">
        <v>50</v>
      </c>
      <c r="L486" s="23"/>
      <c r="M486" s="11"/>
      <c r="N486" s="9" t="s">
        <v>30</v>
      </c>
      <c r="O486" s="11" t="s">
        <v>31</v>
      </c>
      <c r="P486" s="16" t="s">
        <v>163</v>
      </c>
      <c r="Q486" s="11"/>
    </row>
    <row r="487" spans="1:17" ht="66" x14ac:dyDescent="0.25">
      <c r="A487" s="13">
        <v>476</v>
      </c>
      <c r="B487" s="16" t="s">
        <v>1859</v>
      </c>
      <c r="C487" s="9">
        <v>16</v>
      </c>
      <c r="D487" s="9" t="str">
        <f t="shared" ca="1" si="10"/>
        <v>16 বছর 3 মাস 30 দিন</v>
      </c>
      <c r="E487" s="11" t="s">
        <v>1860</v>
      </c>
      <c r="F487" s="14">
        <v>31260</v>
      </c>
      <c r="G487" s="17">
        <v>46008</v>
      </c>
      <c r="H487" s="11" t="s">
        <v>1861</v>
      </c>
      <c r="I487" s="9" t="s">
        <v>27</v>
      </c>
      <c r="J487" s="11" t="s">
        <v>1862</v>
      </c>
      <c r="K487" s="11" t="s">
        <v>50</v>
      </c>
      <c r="L487" s="23"/>
      <c r="M487" s="11"/>
      <c r="N487" s="9" t="s">
        <v>30</v>
      </c>
      <c r="O487" s="11" t="s">
        <v>110</v>
      </c>
      <c r="P487" s="16" t="s">
        <v>158</v>
      </c>
      <c r="Q487" s="11" t="s">
        <v>1796</v>
      </c>
    </row>
    <row r="488" spans="1:17" ht="66" x14ac:dyDescent="0.25">
      <c r="A488" s="13">
        <v>477</v>
      </c>
      <c r="B488" s="16" t="s">
        <v>1863</v>
      </c>
      <c r="C488" s="9">
        <v>16</v>
      </c>
      <c r="D488" s="9" t="str">
        <f t="shared" ca="1" si="10"/>
        <v>16 বছর 3 মাস 30 দিন</v>
      </c>
      <c r="E488" s="11" t="s">
        <v>1864</v>
      </c>
      <c r="F488" s="14">
        <v>31262</v>
      </c>
      <c r="G488" s="17">
        <v>46008</v>
      </c>
      <c r="H488" s="11" t="s">
        <v>1865</v>
      </c>
      <c r="I488" s="9" t="s">
        <v>265</v>
      </c>
      <c r="J488" s="11" t="s">
        <v>1866</v>
      </c>
      <c r="K488" s="11" t="s">
        <v>50</v>
      </c>
      <c r="L488" s="23">
        <v>46026</v>
      </c>
      <c r="M488" s="11"/>
      <c r="N488" s="9" t="s">
        <v>30</v>
      </c>
      <c r="O488" s="11" t="s">
        <v>110</v>
      </c>
      <c r="P488" s="16" t="s">
        <v>158</v>
      </c>
      <c r="Q488" s="11" t="s">
        <v>1322</v>
      </c>
    </row>
    <row r="489" spans="1:17" ht="66" x14ac:dyDescent="0.25">
      <c r="A489" s="13">
        <v>478</v>
      </c>
      <c r="B489" s="16" t="s">
        <v>1867</v>
      </c>
      <c r="C489" s="9">
        <v>15</v>
      </c>
      <c r="D489" s="9" t="str">
        <f t="shared" ca="1" si="10"/>
        <v>15 বছর 3 মাস 29 দিন</v>
      </c>
      <c r="E489" s="11" t="s">
        <v>1868</v>
      </c>
      <c r="F489" s="14">
        <v>31263</v>
      </c>
      <c r="G489" s="17">
        <v>46009</v>
      </c>
      <c r="H489" s="11" t="s">
        <v>1865</v>
      </c>
      <c r="I489" s="9" t="s">
        <v>265</v>
      </c>
      <c r="J489" s="11" t="s">
        <v>1866</v>
      </c>
      <c r="K489" s="11" t="s">
        <v>50</v>
      </c>
      <c r="L489" s="23">
        <v>46026</v>
      </c>
      <c r="M489" s="11"/>
      <c r="N489" s="9" t="s">
        <v>30</v>
      </c>
      <c r="O489" s="11" t="s">
        <v>31</v>
      </c>
      <c r="P489" s="9" t="s">
        <v>186</v>
      </c>
      <c r="Q489" s="11"/>
    </row>
    <row r="490" spans="1:17" ht="66" x14ac:dyDescent="0.25">
      <c r="A490" s="13">
        <v>479</v>
      </c>
      <c r="B490" s="16" t="s">
        <v>1869</v>
      </c>
      <c r="C490" s="9">
        <v>16</v>
      </c>
      <c r="D490" s="9" t="str">
        <f t="shared" ca="1" si="10"/>
        <v>16 বছর 3 মাস 29 দিন</v>
      </c>
      <c r="E490" s="11" t="s">
        <v>1870</v>
      </c>
      <c r="F490" s="14">
        <v>31265</v>
      </c>
      <c r="G490" s="17">
        <v>46009</v>
      </c>
      <c r="H490" s="11" t="s">
        <v>1871</v>
      </c>
      <c r="I490" s="9" t="s">
        <v>196</v>
      </c>
      <c r="J490" s="11" t="s">
        <v>1872</v>
      </c>
      <c r="K490" s="11" t="s">
        <v>50</v>
      </c>
      <c r="L490" s="23">
        <v>46034</v>
      </c>
      <c r="M490" s="11"/>
      <c r="N490" s="9" t="s">
        <v>30</v>
      </c>
      <c r="O490" s="11" t="s">
        <v>110</v>
      </c>
      <c r="P490" s="16" t="s">
        <v>158</v>
      </c>
      <c r="Q490" s="11" t="s">
        <v>283</v>
      </c>
    </row>
    <row r="491" spans="1:17" ht="82.5" x14ac:dyDescent="0.25">
      <c r="A491" s="13">
        <v>480</v>
      </c>
      <c r="B491" s="16" t="s">
        <v>1873</v>
      </c>
      <c r="C491" s="9">
        <v>12</v>
      </c>
      <c r="D491" s="9" t="str">
        <f t="shared" ca="1" si="10"/>
        <v>12 বছর 3 মাস 29 দিন</v>
      </c>
      <c r="E491" s="11" t="s">
        <v>1874</v>
      </c>
      <c r="F491" s="14">
        <v>31267</v>
      </c>
      <c r="G491" s="17">
        <v>46009</v>
      </c>
      <c r="H491" s="11" t="s">
        <v>1875</v>
      </c>
      <c r="I491" s="9" t="s">
        <v>196</v>
      </c>
      <c r="J491" s="11" t="s">
        <v>1830</v>
      </c>
      <c r="K491" s="11" t="s">
        <v>50</v>
      </c>
      <c r="L491" s="23">
        <v>46026</v>
      </c>
      <c r="M491" s="11"/>
      <c r="N491" s="9" t="s">
        <v>30</v>
      </c>
      <c r="O491" s="11" t="s">
        <v>31</v>
      </c>
      <c r="P491" s="9" t="s">
        <v>192</v>
      </c>
      <c r="Q491" s="11"/>
    </row>
    <row r="492" spans="1:17" ht="82.5" x14ac:dyDescent="0.25">
      <c r="A492" s="13">
        <v>481</v>
      </c>
      <c r="B492" s="16" t="s">
        <v>1876</v>
      </c>
      <c r="C492" s="9">
        <v>15</v>
      </c>
      <c r="D492" s="9" t="str">
        <f t="shared" ca="1" si="10"/>
        <v>15 বছর 3 মাস 29 দিন</v>
      </c>
      <c r="E492" s="11" t="s">
        <v>1877</v>
      </c>
      <c r="F492" s="14">
        <v>31268</v>
      </c>
      <c r="G492" s="17">
        <v>46009</v>
      </c>
      <c r="H492" s="11" t="s">
        <v>1878</v>
      </c>
      <c r="I492" s="9" t="s">
        <v>196</v>
      </c>
      <c r="J492" s="11" t="s">
        <v>1830</v>
      </c>
      <c r="K492" s="11" t="s">
        <v>50</v>
      </c>
      <c r="L492" s="23">
        <v>46026</v>
      </c>
      <c r="M492" s="11"/>
      <c r="N492" s="9" t="s">
        <v>30</v>
      </c>
      <c r="O492" s="11" t="s">
        <v>31</v>
      </c>
      <c r="P492" s="16" t="s">
        <v>158</v>
      </c>
      <c r="Q492" s="11" t="s">
        <v>930</v>
      </c>
    </row>
    <row r="493" spans="1:17" ht="82.5" x14ac:dyDescent="0.25">
      <c r="A493" s="13">
        <v>482</v>
      </c>
      <c r="B493" s="16" t="s">
        <v>1879</v>
      </c>
      <c r="C493" s="9">
        <v>16</v>
      </c>
      <c r="D493" s="9" t="str">
        <f t="shared" ca="1" si="10"/>
        <v>16 বছর 3 মাস 27 দিন</v>
      </c>
      <c r="E493" s="11" t="s">
        <v>1880</v>
      </c>
      <c r="F493" s="14">
        <v>31276</v>
      </c>
      <c r="G493" s="17">
        <v>46011</v>
      </c>
      <c r="H493" s="11" t="s">
        <v>1881</v>
      </c>
      <c r="I493" s="9" t="s">
        <v>27</v>
      </c>
      <c r="J493" s="11" t="s">
        <v>1002</v>
      </c>
      <c r="K493" s="11" t="s">
        <v>50</v>
      </c>
      <c r="L493" s="23">
        <v>46043</v>
      </c>
      <c r="M493" s="11"/>
      <c r="N493" s="9" t="s">
        <v>30</v>
      </c>
      <c r="O493" s="11" t="s">
        <v>34</v>
      </c>
      <c r="P493" s="9" t="s">
        <v>252</v>
      </c>
      <c r="Q493" s="11"/>
    </row>
    <row r="494" spans="1:17" ht="66" x14ac:dyDescent="0.25">
      <c r="A494" s="13">
        <v>483</v>
      </c>
      <c r="B494" s="16" t="s">
        <v>1882</v>
      </c>
      <c r="C494" s="9">
        <v>16</v>
      </c>
      <c r="D494" s="9" t="str">
        <f t="shared" ca="1" si="10"/>
        <v>16 বছর 3 মাস 26 দিন</v>
      </c>
      <c r="E494" s="11" t="s">
        <v>1883</v>
      </c>
      <c r="F494" s="14">
        <v>31279</v>
      </c>
      <c r="G494" s="17">
        <v>46012</v>
      </c>
      <c r="H494" s="11" t="s">
        <v>1884</v>
      </c>
      <c r="I494" s="30" t="s">
        <v>196</v>
      </c>
      <c r="J494" s="11" t="s">
        <v>1179</v>
      </c>
      <c r="K494" s="11" t="s">
        <v>50</v>
      </c>
      <c r="L494" s="23"/>
      <c r="M494" s="11"/>
      <c r="N494" s="9" t="s">
        <v>30</v>
      </c>
      <c r="O494" s="11" t="s">
        <v>100</v>
      </c>
      <c r="P494" s="9" t="s">
        <v>52</v>
      </c>
      <c r="Q494" s="11"/>
    </row>
    <row r="495" spans="1:17" ht="66" x14ac:dyDescent="0.25">
      <c r="A495" s="13">
        <v>484</v>
      </c>
      <c r="B495" s="16" t="s">
        <v>1885</v>
      </c>
      <c r="C495" s="9"/>
      <c r="D495" s="9" t="str">
        <f t="shared" ca="1" si="10"/>
        <v>0 বছর 3 মাস 26 দিন</v>
      </c>
      <c r="E495" s="11" t="s">
        <v>1886</v>
      </c>
      <c r="F495" s="14">
        <v>31281</v>
      </c>
      <c r="G495" s="17">
        <v>46012</v>
      </c>
      <c r="H495" s="11" t="s">
        <v>1887</v>
      </c>
      <c r="I495" s="9" t="s">
        <v>265</v>
      </c>
      <c r="J495" s="11" t="s">
        <v>1888</v>
      </c>
      <c r="K495" s="11" t="s">
        <v>50</v>
      </c>
      <c r="L495" s="23"/>
      <c r="M495" s="11"/>
      <c r="N495" s="9" t="s">
        <v>30</v>
      </c>
      <c r="O495" s="11" t="s">
        <v>31</v>
      </c>
      <c r="P495" s="9" t="s">
        <v>272</v>
      </c>
      <c r="Q495" s="11"/>
    </row>
    <row r="496" spans="1:17" ht="66" x14ac:dyDescent="0.25">
      <c r="A496" s="13">
        <v>485</v>
      </c>
      <c r="B496" s="16" t="s">
        <v>1889</v>
      </c>
      <c r="C496" s="9">
        <v>15</v>
      </c>
      <c r="D496" s="9" t="str">
        <f t="shared" ca="1" si="10"/>
        <v>15 বছর 3 মাস 26 দিন</v>
      </c>
      <c r="E496" s="11" t="s">
        <v>1890</v>
      </c>
      <c r="F496" s="14">
        <v>31284</v>
      </c>
      <c r="G496" s="17">
        <v>46012</v>
      </c>
      <c r="H496" s="11" t="s">
        <v>1891</v>
      </c>
      <c r="I496" s="9" t="s">
        <v>48</v>
      </c>
      <c r="J496" s="11" t="s">
        <v>1892</v>
      </c>
      <c r="K496" s="11" t="s">
        <v>50</v>
      </c>
      <c r="L496" s="23"/>
      <c r="M496" s="11"/>
      <c r="N496" s="9" t="s">
        <v>30</v>
      </c>
      <c r="O496" s="11" t="s">
        <v>31</v>
      </c>
      <c r="P496" s="11" t="s">
        <v>174</v>
      </c>
      <c r="Q496" s="11"/>
    </row>
    <row r="497" spans="1:17" s="18" customFormat="1" ht="66" x14ac:dyDescent="0.25">
      <c r="A497" s="13">
        <v>486</v>
      </c>
      <c r="B497" s="16" t="s">
        <v>1893</v>
      </c>
      <c r="C497" s="9">
        <v>17</v>
      </c>
      <c r="D497" s="9" t="str">
        <f t="shared" ca="1" si="10"/>
        <v>17 বছর 3 মাস 25 দিন</v>
      </c>
      <c r="E497" s="11" t="s">
        <v>1894</v>
      </c>
      <c r="F497" s="14">
        <v>31286</v>
      </c>
      <c r="G497" s="17">
        <v>46013</v>
      </c>
      <c r="H497" s="11" t="s">
        <v>1895</v>
      </c>
      <c r="I497" s="9" t="s">
        <v>27</v>
      </c>
      <c r="J497" s="11" t="s">
        <v>1896</v>
      </c>
      <c r="K497" s="11" t="s">
        <v>50</v>
      </c>
      <c r="L497" s="23">
        <v>46042</v>
      </c>
      <c r="M497" s="11"/>
      <c r="N497" s="9" t="s">
        <v>30</v>
      </c>
      <c r="O497" s="11" t="s">
        <v>51</v>
      </c>
      <c r="P497" s="11" t="s">
        <v>294</v>
      </c>
      <c r="Q497" s="11"/>
    </row>
    <row r="498" spans="1:17" ht="66" x14ac:dyDescent="0.25">
      <c r="A498" s="13">
        <v>487</v>
      </c>
      <c r="B498" s="16" t="s">
        <v>1897</v>
      </c>
      <c r="C498" s="9">
        <v>16</v>
      </c>
      <c r="D498" s="9" t="str">
        <f t="shared" ca="1" si="10"/>
        <v>16 বছর 3 মাস 25 দিন</v>
      </c>
      <c r="E498" s="11" t="s">
        <v>1898</v>
      </c>
      <c r="F498" s="14">
        <v>31288</v>
      </c>
      <c r="G498" s="17">
        <v>46013</v>
      </c>
      <c r="H498" s="11" t="s">
        <v>1899</v>
      </c>
      <c r="I498" s="9" t="s">
        <v>292</v>
      </c>
      <c r="J498" s="11" t="s">
        <v>1343</v>
      </c>
      <c r="K498" s="11" t="s">
        <v>50</v>
      </c>
      <c r="L498" s="23">
        <v>46048</v>
      </c>
      <c r="M498" s="11"/>
      <c r="N498" s="9" t="s">
        <v>30</v>
      </c>
      <c r="O498" s="11" t="s">
        <v>51</v>
      </c>
      <c r="P498" s="11" t="s">
        <v>1201</v>
      </c>
      <c r="Q498" s="11"/>
    </row>
    <row r="499" spans="1:17" ht="66" x14ac:dyDescent="0.25">
      <c r="A499" s="13">
        <v>488</v>
      </c>
      <c r="B499" s="16" t="s">
        <v>1900</v>
      </c>
      <c r="C499" s="9">
        <v>16</v>
      </c>
      <c r="D499" s="9" t="str">
        <f t="shared" ca="1" si="10"/>
        <v>16 বছর 3 মাস 25 দিন</v>
      </c>
      <c r="E499" s="11" t="s">
        <v>1901</v>
      </c>
      <c r="F499" s="14">
        <v>31289</v>
      </c>
      <c r="G499" s="17">
        <v>46013</v>
      </c>
      <c r="H499" s="11" t="s">
        <v>1899</v>
      </c>
      <c r="I499" s="9" t="s">
        <v>292</v>
      </c>
      <c r="J499" s="11" t="s">
        <v>1343</v>
      </c>
      <c r="K499" s="11" t="s">
        <v>50</v>
      </c>
      <c r="L499" s="23">
        <v>46048</v>
      </c>
      <c r="M499" s="11"/>
      <c r="N499" s="9" t="s">
        <v>30</v>
      </c>
      <c r="O499" s="11" t="s">
        <v>100</v>
      </c>
      <c r="P499" s="16" t="s">
        <v>158</v>
      </c>
      <c r="Q499" s="11" t="s">
        <v>1677</v>
      </c>
    </row>
    <row r="500" spans="1:17" ht="66" x14ac:dyDescent="0.25">
      <c r="A500" s="13">
        <v>489</v>
      </c>
      <c r="B500" s="16" t="s">
        <v>1902</v>
      </c>
      <c r="C500" s="9">
        <v>16</v>
      </c>
      <c r="D500" s="9" t="str">
        <f t="shared" ca="1" si="10"/>
        <v>16 বছর 3 মাস 24 দিন</v>
      </c>
      <c r="E500" s="11" t="s">
        <v>1903</v>
      </c>
      <c r="F500" s="14">
        <v>31292</v>
      </c>
      <c r="G500" s="17">
        <v>46014</v>
      </c>
      <c r="H500" s="11" t="s">
        <v>1904</v>
      </c>
      <c r="I500" s="21" t="s">
        <v>130</v>
      </c>
      <c r="J500" s="11" t="s">
        <v>1905</v>
      </c>
      <c r="K500" s="11" t="s">
        <v>50</v>
      </c>
      <c r="L500" s="23">
        <v>46079</v>
      </c>
      <c r="M500" s="11"/>
      <c r="N500" s="9" t="s">
        <v>30</v>
      </c>
      <c r="O500" s="11" t="s">
        <v>100</v>
      </c>
      <c r="P500" s="16" t="s">
        <v>158</v>
      </c>
      <c r="Q500" s="11" t="s">
        <v>1025</v>
      </c>
    </row>
    <row r="501" spans="1:17" ht="66" x14ac:dyDescent="0.25">
      <c r="A501" s="13">
        <v>490</v>
      </c>
      <c r="B501" s="16" t="s">
        <v>1906</v>
      </c>
      <c r="C501" s="9">
        <v>13</v>
      </c>
      <c r="D501" s="9" t="str">
        <f t="shared" ca="1" si="10"/>
        <v>13 বছর 3 মাস 24 দিন</v>
      </c>
      <c r="E501" s="11" t="s">
        <v>1907</v>
      </c>
      <c r="F501" s="14">
        <v>31294</v>
      </c>
      <c r="G501" s="17">
        <v>46014</v>
      </c>
      <c r="H501" s="11" t="s">
        <v>1908</v>
      </c>
      <c r="I501" s="9" t="s">
        <v>196</v>
      </c>
      <c r="J501" s="11" t="s">
        <v>1909</v>
      </c>
      <c r="K501" s="11" t="s">
        <v>50</v>
      </c>
      <c r="L501" s="23">
        <v>46097</v>
      </c>
      <c r="M501" s="11"/>
      <c r="N501" s="9" t="s">
        <v>30</v>
      </c>
      <c r="O501" s="11" t="s">
        <v>31</v>
      </c>
      <c r="P501" s="9" t="s">
        <v>1217</v>
      </c>
      <c r="Q501" s="11"/>
    </row>
    <row r="502" spans="1:17" ht="66" x14ac:dyDescent="0.25">
      <c r="A502" s="13">
        <v>491</v>
      </c>
      <c r="B502" s="16" t="s">
        <v>1910</v>
      </c>
      <c r="C502" s="9">
        <v>16</v>
      </c>
      <c r="D502" s="9" t="str">
        <f t="shared" ca="1" si="10"/>
        <v>16 বছর 3 মাস 24 দিন</v>
      </c>
      <c r="E502" s="11" t="s">
        <v>1911</v>
      </c>
      <c r="F502" s="14">
        <v>31302</v>
      </c>
      <c r="G502" s="17">
        <v>46014</v>
      </c>
      <c r="H502" s="11" t="s">
        <v>1912</v>
      </c>
      <c r="I502" s="9" t="s">
        <v>27</v>
      </c>
      <c r="J502" s="11" t="s">
        <v>1248</v>
      </c>
      <c r="K502" s="11" t="s">
        <v>50</v>
      </c>
      <c r="L502" s="23">
        <v>46082</v>
      </c>
      <c r="M502" s="11"/>
      <c r="N502" s="9" t="s">
        <v>30</v>
      </c>
      <c r="O502" s="11" t="s">
        <v>34</v>
      </c>
      <c r="P502" s="16" t="s">
        <v>158</v>
      </c>
      <c r="Q502" s="11" t="s">
        <v>819</v>
      </c>
    </row>
    <row r="503" spans="1:17" ht="66" x14ac:dyDescent="0.25">
      <c r="A503" s="13">
        <v>492</v>
      </c>
      <c r="B503" s="16" t="s">
        <v>1913</v>
      </c>
      <c r="C503" s="9">
        <v>16</v>
      </c>
      <c r="D503" s="9" t="str">
        <f t="shared" ca="1" si="10"/>
        <v>16 বছর 3 মাস 23 দিন</v>
      </c>
      <c r="E503" s="11" t="s">
        <v>1914</v>
      </c>
      <c r="F503" s="14">
        <v>31304</v>
      </c>
      <c r="G503" s="17">
        <v>46015</v>
      </c>
      <c r="H503" s="11" t="s">
        <v>1915</v>
      </c>
      <c r="I503" s="9" t="s">
        <v>265</v>
      </c>
      <c r="J503" s="11" t="s">
        <v>1916</v>
      </c>
      <c r="K503" s="11" t="s">
        <v>50</v>
      </c>
      <c r="L503" s="23">
        <v>46070</v>
      </c>
      <c r="M503" s="11"/>
      <c r="N503" s="9" t="s">
        <v>30</v>
      </c>
      <c r="O503" s="11" t="s">
        <v>51</v>
      </c>
      <c r="P503" s="16" t="s">
        <v>158</v>
      </c>
      <c r="Q503" s="11" t="s">
        <v>1796</v>
      </c>
    </row>
    <row r="504" spans="1:17" ht="66" x14ac:dyDescent="0.25">
      <c r="A504" s="13">
        <v>493</v>
      </c>
      <c r="B504" s="16" t="s">
        <v>1917</v>
      </c>
      <c r="C504" s="9">
        <v>17</v>
      </c>
      <c r="D504" s="9" t="str">
        <f t="shared" ca="1" si="10"/>
        <v>17 বছর 3 মাস 23 দিন</v>
      </c>
      <c r="E504" s="11" t="s">
        <v>1918</v>
      </c>
      <c r="F504" s="14">
        <v>31307</v>
      </c>
      <c r="G504" s="17">
        <v>46015</v>
      </c>
      <c r="H504" s="11" t="s">
        <v>1919</v>
      </c>
      <c r="I504" s="9" t="s">
        <v>27</v>
      </c>
      <c r="J504" s="11" t="s">
        <v>1920</v>
      </c>
      <c r="K504" s="11" t="s">
        <v>50</v>
      </c>
      <c r="L504" s="23"/>
      <c r="M504" s="11"/>
      <c r="N504" s="9" t="s">
        <v>30</v>
      </c>
      <c r="O504" s="11" t="s">
        <v>110</v>
      </c>
      <c r="P504" s="16" t="s">
        <v>158</v>
      </c>
      <c r="Q504" s="11" t="s">
        <v>1746</v>
      </c>
    </row>
    <row r="505" spans="1:17" ht="66" x14ac:dyDescent="0.25">
      <c r="A505" s="13">
        <v>494</v>
      </c>
      <c r="B505" s="16" t="s">
        <v>1921</v>
      </c>
      <c r="C505" s="9">
        <v>17</v>
      </c>
      <c r="D505" s="9" t="str">
        <f t="shared" ca="1" si="10"/>
        <v>17 বছর 3 মাস 21 দিন</v>
      </c>
      <c r="E505" s="11" t="s">
        <v>1922</v>
      </c>
      <c r="F505" s="14">
        <v>31309</v>
      </c>
      <c r="G505" s="17">
        <v>46017</v>
      </c>
      <c r="H505" s="11" t="s">
        <v>1923</v>
      </c>
      <c r="I505" s="9" t="s">
        <v>27</v>
      </c>
      <c r="J505" s="11" t="s">
        <v>1704</v>
      </c>
      <c r="K505" s="11" t="s">
        <v>50</v>
      </c>
      <c r="L505" s="23">
        <v>46013</v>
      </c>
      <c r="M505" s="11"/>
      <c r="N505" s="9" t="s">
        <v>30</v>
      </c>
      <c r="O505" s="11" t="s">
        <v>100</v>
      </c>
      <c r="P505" s="9" t="s">
        <v>397</v>
      </c>
      <c r="Q505" s="11"/>
    </row>
    <row r="506" spans="1:17" ht="66" x14ac:dyDescent="0.25">
      <c r="A506" s="13">
        <v>495</v>
      </c>
      <c r="B506" s="16" t="s">
        <v>1924</v>
      </c>
      <c r="C506" s="9">
        <v>13</v>
      </c>
      <c r="D506" s="9" t="str">
        <f t="shared" ca="1" si="10"/>
        <v>13 বছর 3 মাস 21 দিন</v>
      </c>
      <c r="E506" s="11" t="s">
        <v>1925</v>
      </c>
      <c r="F506" s="14">
        <v>31312</v>
      </c>
      <c r="G506" s="17">
        <v>46017</v>
      </c>
      <c r="H506" s="11" t="s">
        <v>1926</v>
      </c>
      <c r="I506" s="9" t="s">
        <v>27</v>
      </c>
      <c r="J506" s="11" t="s">
        <v>1786</v>
      </c>
      <c r="K506" s="11" t="s">
        <v>50</v>
      </c>
      <c r="L506" s="23">
        <v>46040</v>
      </c>
      <c r="M506" s="11"/>
      <c r="N506" s="9" t="s">
        <v>30</v>
      </c>
      <c r="O506" s="11" t="s">
        <v>31</v>
      </c>
      <c r="P506" s="9" t="s">
        <v>407</v>
      </c>
      <c r="Q506" s="11"/>
    </row>
    <row r="507" spans="1:17" ht="66" x14ac:dyDescent="0.25">
      <c r="A507" s="13">
        <v>496</v>
      </c>
      <c r="B507" s="16" t="s">
        <v>1927</v>
      </c>
      <c r="C507" s="9">
        <v>16</v>
      </c>
      <c r="D507" s="9" t="str">
        <f t="shared" ca="1" si="10"/>
        <v>16 বছর 3 মাস 21 দিন</v>
      </c>
      <c r="E507" s="11" t="s">
        <v>1928</v>
      </c>
      <c r="F507" s="14">
        <v>31313</v>
      </c>
      <c r="G507" s="17">
        <v>46017</v>
      </c>
      <c r="H507" s="11" t="s">
        <v>1929</v>
      </c>
      <c r="I507" s="9" t="s">
        <v>38</v>
      </c>
      <c r="J507" s="11" t="s">
        <v>1465</v>
      </c>
      <c r="K507" s="11" t="s">
        <v>50</v>
      </c>
      <c r="L507" s="23">
        <v>46078</v>
      </c>
      <c r="M507" s="11"/>
      <c r="N507" s="9" t="s">
        <v>30</v>
      </c>
      <c r="O507" s="11" t="s">
        <v>100</v>
      </c>
      <c r="P507" s="16" t="s">
        <v>158</v>
      </c>
      <c r="Q507" s="11" t="s">
        <v>464</v>
      </c>
    </row>
    <row r="508" spans="1:17" ht="66" x14ac:dyDescent="0.25">
      <c r="A508" s="13">
        <v>497</v>
      </c>
      <c r="B508" s="16" t="s">
        <v>1930</v>
      </c>
      <c r="C508" s="9">
        <v>15</v>
      </c>
      <c r="D508" s="9" t="str">
        <f t="shared" ref="D508:D571" ca="1" si="11">C508+DATEDIF(G508,TODAY(),"y")&amp;" "&amp;"বছর"&amp;" "&amp;DATEDIF(G508,TODAY(),"ym")&amp;" "&amp;"মাস"&amp;" "&amp;DATEDIF(G508,TODAY(),"md")&amp;" "&amp;"দিন"</f>
        <v>15 বছর 3 মাস 20 দিন</v>
      </c>
      <c r="E508" s="11" t="s">
        <v>1931</v>
      </c>
      <c r="F508" s="14">
        <v>31315</v>
      </c>
      <c r="G508" s="17">
        <v>46018</v>
      </c>
      <c r="H508" s="11" t="s">
        <v>1932</v>
      </c>
      <c r="I508" s="9" t="s">
        <v>265</v>
      </c>
      <c r="J508" s="11" t="s">
        <v>1248</v>
      </c>
      <c r="K508" s="11" t="s">
        <v>50</v>
      </c>
      <c r="L508" s="23">
        <v>46056</v>
      </c>
      <c r="M508" s="11"/>
      <c r="N508" s="9" t="s">
        <v>30</v>
      </c>
      <c r="O508" s="11" t="s">
        <v>110</v>
      </c>
      <c r="P508" s="11" t="s">
        <v>294</v>
      </c>
      <c r="Q508" s="11"/>
    </row>
    <row r="509" spans="1:17" ht="115.5" x14ac:dyDescent="0.25">
      <c r="A509" s="13">
        <v>498</v>
      </c>
      <c r="B509" s="16" t="s">
        <v>1933</v>
      </c>
      <c r="C509" s="9">
        <v>14</v>
      </c>
      <c r="D509" s="9" t="str">
        <f t="shared" ca="1" si="11"/>
        <v>14 বছর 3 মাস 20 দিন</v>
      </c>
      <c r="E509" s="11" t="s">
        <v>1934</v>
      </c>
      <c r="F509" s="14">
        <v>31317</v>
      </c>
      <c r="G509" s="17">
        <v>46018</v>
      </c>
      <c r="H509" s="11" t="s">
        <v>1935</v>
      </c>
      <c r="I509" s="9" t="s">
        <v>552</v>
      </c>
      <c r="J509" s="11" t="s">
        <v>1888</v>
      </c>
      <c r="K509" s="11" t="s">
        <v>50</v>
      </c>
      <c r="L509" s="23">
        <v>46047</v>
      </c>
      <c r="M509" s="11"/>
      <c r="N509" s="9" t="s">
        <v>30</v>
      </c>
      <c r="O509" s="11" t="s">
        <v>31</v>
      </c>
      <c r="P509" s="9" t="s">
        <v>373</v>
      </c>
      <c r="Q509" s="11"/>
    </row>
    <row r="510" spans="1:17" ht="66" x14ac:dyDescent="0.25">
      <c r="A510" s="13">
        <v>499</v>
      </c>
      <c r="B510" s="16" t="s">
        <v>1936</v>
      </c>
      <c r="C510" s="9">
        <v>15</v>
      </c>
      <c r="D510" s="9" t="str">
        <f t="shared" ca="1" si="11"/>
        <v>15 বছর 3 মাস 19 দিন</v>
      </c>
      <c r="E510" s="11" t="s">
        <v>1937</v>
      </c>
      <c r="F510" s="14">
        <v>31321</v>
      </c>
      <c r="G510" s="17">
        <v>46019</v>
      </c>
      <c r="H510" s="11" t="s">
        <v>1938</v>
      </c>
      <c r="I510" s="21" t="s">
        <v>130</v>
      </c>
      <c r="J510" s="11" t="s">
        <v>1939</v>
      </c>
      <c r="K510" s="11" t="s">
        <v>50</v>
      </c>
      <c r="L510" s="23">
        <v>46061</v>
      </c>
      <c r="M510" s="11"/>
      <c r="N510" s="9" t="s">
        <v>30</v>
      </c>
      <c r="O510" s="11" t="s">
        <v>31</v>
      </c>
      <c r="P510" s="9" t="s">
        <v>180</v>
      </c>
      <c r="Q510" s="11"/>
    </row>
    <row r="511" spans="1:17" ht="66" x14ac:dyDescent="0.25">
      <c r="A511" s="13">
        <v>500</v>
      </c>
      <c r="B511" s="16" t="s">
        <v>1940</v>
      </c>
      <c r="C511" s="9">
        <v>17</v>
      </c>
      <c r="D511" s="9" t="str">
        <f t="shared" ca="1" si="11"/>
        <v>17 বছর 3 মাস 19 দিন</v>
      </c>
      <c r="E511" s="11" t="s">
        <v>1941</v>
      </c>
      <c r="F511" s="14">
        <v>31322</v>
      </c>
      <c r="G511" s="17">
        <v>46019</v>
      </c>
      <c r="H511" s="11" t="s">
        <v>1942</v>
      </c>
      <c r="I511" s="9" t="s">
        <v>48</v>
      </c>
      <c r="J511" s="11" t="s">
        <v>1943</v>
      </c>
      <c r="K511" s="11" t="s">
        <v>50</v>
      </c>
      <c r="L511" s="23">
        <v>46064</v>
      </c>
      <c r="M511" s="11"/>
      <c r="N511" s="9" t="s">
        <v>30</v>
      </c>
      <c r="O511" s="11" t="s">
        <v>34</v>
      </c>
      <c r="P511" s="9" t="s">
        <v>94</v>
      </c>
      <c r="Q511" s="11"/>
    </row>
    <row r="512" spans="1:17" ht="66" x14ac:dyDescent="0.25">
      <c r="A512" s="13">
        <v>501</v>
      </c>
      <c r="B512" s="16" t="s">
        <v>1944</v>
      </c>
      <c r="C512" s="9">
        <v>16</v>
      </c>
      <c r="D512" s="9" t="str">
        <f t="shared" ca="1" si="11"/>
        <v>16 বছর 3 মাস 18 দিন</v>
      </c>
      <c r="E512" s="11" t="s">
        <v>1945</v>
      </c>
      <c r="F512" s="14">
        <v>31329</v>
      </c>
      <c r="G512" s="17">
        <v>46020</v>
      </c>
      <c r="H512" s="11" t="s">
        <v>1946</v>
      </c>
      <c r="I512" s="9" t="s">
        <v>265</v>
      </c>
      <c r="J512" s="11" t="s">
        <v>1704</v>
      </c>
      <c r="K512" s="11" t="s">
        <v>50</v>
      </c>
      <c r="L512" s="23">
        <v>46047</v>
      </c>
      <c r="M512" s="11"/>
      <c r="N512" s="9" t="s">
        <v>30</v>
      </c>
      <c r="O512" s="11" t="s">
        <v>31</v>
      </c>
      <c r="P512" s="9" t="s">
        <v>478</v>
      </c>
      <c r="Q512" s="11"/>
    </row>
    <row r="513" spans="1:17" ht="66" x14ac:dyDescent="0.25">
      <c r="A513" s="13">
        <v>502</v>
      </c>
      <c r="B513" s="16" t="s">
        <v>1947</v>
      </c>
      <c r="C513" s="9">
        <v>15</v>
      </c>
      <c r="D513" s="9" t="str">
        <f t="shared" ca="1" si="11"/>
        <v>15 বছর 3 মাস 17 দিন</v>
      </c>
      <c r="E513" s="11" t="s">
        <v>1948</v>
      </c>
      <c r="F513" s="14">
        <v>31331</v>
      </c>
      <c r="G513" s="17">
        <v>46021</v>
      </c>
      <c r="H513" s="11" t="s">
        <v>1949</v>
      </c>
      <c r="I513" s="9" t="s">
        <v>38</v>
      </c>
      <c r="J513" s="11" t="s">
        <v>1943</v>
      </c>
      <c r="K513" s="11" t="s">
        <v>50</v>
      </c>
      <c r="L513" s="23">
        <v>46069</v>
      </c>
      <c r="M513" s="11"/>
      <c r="N513" s="9" t="s">
        <v>30</v>
      </c>
      <c r="O513" s="11" t="s">
        <v>31</v>
      </c>
      <c r="P513" s="16" t="s">
        <v>158</v>
      </c>
      <c r="Q513" s="11" t="s">
        <v>960</v>
      </c>
    </row>
    <row r="514" spans="1:17" ht="82.5" x14ac:dyDescent="0.25">
      <c r="A514" s="13">
        <v>503</v>
      </c>
      <c r="B514" s="16" t="s">
        <v>1950</v>
      </c>
      <c r="C514" s="9">
        <v>15</v>
      </c>
      <c r="D514" s="9" t="str">
        <f t="shared" ca="1" si="11"/>
        <v>15 বছর 3 মাস 17 দিন</v>
      </c>
      <c r="E514" s="11" t="s">
        <v>1951</v>
      </c>
      <c r="F514" s="14">
        <v>31332</v>
      </c>
      <c r="G514" s="17">
        <v>46021</v>
      </c>
      <c r="H514" s="11" t="s">
        <v>1952</v>
      </c>
      <c r="I514" s="9" t="s">
        <v>48</v>
      </c>
      <c r="J514" s="11" t="s">
        <v>1953</v>
      </c>
      <c r="K514" s="11" t="s">
        <v>50</v>
      </c>
      <c r="L514" s="23">
        <v>46051</v>
      </c>
      <c r="M514" s="11"/>
      <c r="N514" s="9" t="s">
        <v>30</v>
      </c>
      <c r="O514" s="11" t="s">
        <v>31</v>
      </c>
      <c r="P514" s="9" t="s">
        <v>101</v>
      </c>
      <c r="Q514" s="11"/>
    </row>
    <row r="515" spans="1:17" ht="66" x14ac:dyDescent="0.25">
      <c r="A515" s="13">
        <v>504</v>
      </c>
      <c r="B515" s="16" t="s">
        <v>1954</v>
      </c>
      <c r="C515" s="9">
        <v>17</v>
      </c>
      <c r="D515" s="9" t="str">
        <f t="shared" ca="1" si="11"/>
        <v>17 বছর 3 মাস 17 দিন</v>
      </c>
      <c r="E515" s="11" t="s">
        <v>1955</v>
      </c>
      <c r="F515" s="14">
        <v>31333</v>
      </c>
      <c r="G515" s="17">
        <v>46021</v>
      </c>
      <c r="H515" s="11" t="s">
        <v>1956</v>
      </c>
      <c r="I515" s="9" t="s">
        <v>27</v>
      </c>
      <c r="J515" s="11" t="s">
        <v>1957</v>
      </c>
      <c r="K515" s="11" t="s">
        <v>50</v>
      </c>
      <c r="L515" s="23">
        <v>46023</v>
      </c>
      <c r="M515" s="11"/>
      <c r="N515" s="9" t="s">
        <v>30</v>
      </c>
      <c r="O515" s="11" t="s">
        <v>100</v>
      </c>
      <c r="P515" s="9" t="s">
        <v>805</v>
      </c>
      <c r="Q515" s="11"/>
    </row>
    <row r="516" spans="1:17" ht="82.5" x14ac:dyDescent="0.25">
      <c r="A516" s="13">
        <v>505</v>
      </c>
      <c r="B516" s="16" t="s">
        <v>1958</v>
      </c>
      <c r="C516" s="9">
        <v>16</v>
      </c>
      <c r="D516" s="9" t="str">
        <f t="shared" ca="1" si="11"/>
        <v>16 বছর 3 মাস 16 দিন</v>
      </c>
      <c r="E516" s="11" t="s">
        <v>1959</v>
      </c>
      <c r="F516" s="14">
        <v>31335</v>
      </c>
      <c r="G516" s="17">
        <v>46022</v>
      </c>
      <c r="H516" s="11" t="s">
        <v>1960</v>
      </c>
      <c r="I516" s="9" t="s">
        <v>27</v>
      </c>
      <c r="J516" s="11" t="s">
        <v>1961</v>
      </c>
      <c r="K516" s="11" t="s">
        <v>50</v>
      </c>
      <c r="L516" s="23">
        <v>46061</v>
      </c>
      <c r="M516" s="11"/>
      <c r="N516" s="9" t="s">
        <v>30</v>
      </c>
      <c r="O516" s="11" t="s">
        <v>31</v>
      </c>
      <c r="P516" s="16" t="s">
        <v>158</v>
      </c>
      <c r="Q516" s="11" t="s">
        <v>819</v>
      </c>
    </row>
    <row r="517" spans="1:17" ht="82.5" x14ac:dyDescent="0.25">
      <c r="A517" s="13">
        <v>506</v>
      </c>
      <c r="B517" s="16" t="s">
        <v>1962</v>
      </c>
      <c r="C517" s="9">
        <v>18</v>
      </c>
      <c r="D517" s="9" t="str">
        <f t="shared" ca="1" si="11"/>
        <v>18 বছর 3 মাস 15 দিন</v>
      </c>
      <c r="E517" s="11" t="s">
        <v>1963</v>
      </c>
      <c r="F517" s="14">
        <v>31337</v>
      </c>
      <c r="G517" s="17">
        <v>46023</v>
      </c>
      <c r="H517" s="11" t="s">
        <v>1964</v>
      </c>
      <c r="I517" s="11" t="s">
        <v>265</v>
      </c>
      <c r="J517" s="11" t="s">
        <v>1435</v>
      </c>
      <c r="K517" s="11" t="s">
        <v>50</v>
      </c>
      <c r="L517" s="23">
        <v>46070</v>
      </c>
      <c r="M517" s="11"/>
      <c r="N517" s="9" t="s">
        <v>30</v>
      </c>
      <c r="O517" s="11" t="s">
        <v>34</v>
      </c>
      <c r="P517" s="16" t="s">
        <v>158</v>
      </c>
      <c r="Q517" s="11" t="s">
        <v>831</v>
      </c>
    </row>
    <row r="518" spans="1:17" ht="82.5" x14ac:dyDescent="0.25">
      <c r="A518" s="13">
        <v>507</v>
      </c>
      <c r="B518" s="16" t="s">
        <v>1965</v>
      </c>
      <c r="C518" s="9"/>
      <c r="D518" s="9" t="str">
        <f t="shared" ca="1" si="11"/>
        <v>0 বছর 3 মাস 15 দিন</v>
      </c>
      <c r="E518" s="11" t="s">
        <v>1966</v>
      </c>
      <c r="F518" s="14">
        <v>31339</v>
      </c>
      <c r="G518" s="17">
        <v>46023</v>
      </c>
      <c r="H518" s="11" t="s">
        <v>1967</v>
      </c>
      <c r="I518" s="11" t="s">
        <v>38</v>
      </c>
      <c r="J518" s="11" t="s">
        <v>1435</v>
      </c>
      <c r="K518" s="11" t="s">
        <v>50</v>
      </c>
      <c r="L518" s="23"/>
      <c r="M518" s="11"/>
      <c r="N518" s="9" t="s">
        <v>30</v>
      </c>
      <c r="O518" s="11" t="s">
        <v>31</v>
      </c>
      <c r="P518" s="9" t="s">
        <v>325</v>
      </c>
      <c r="Q518" s="11"/>
    </row>
    <row r="519" spans="1:17" ht="66" x14ac:dyDescent="0.25">
      <c r="A519" s="13">
        <v>508</v>
      </c>
      <c r="B519" s="16" t="s">
        <v>1968</v>
      </c>
      <c r="C519" s="9"/>
      <c r="D519" s="9" t="str">
        <f t="shared" ca="1" si="11"/>
        <v>0 বছর 3 মাস 15 দিন</v>
      </c>
      <c r="E519" s="11" t="s">
        <v>1969</v>
      </c>
      <c r="F519" s="14">
        <v>31341</v>
      </c>
      <c r="G519" s="17">
        <v>46023</v>
      </c>
      <c r="H519" s="11" t="s">
        <v>1970</v>
      </c>
      <c r="I519" s="11" t="s">
        <v>964</v>
      </c>
      <c r="J519" s="11" t="s">
        <v>1435</v>
      </c>
      <c r="K519" s="11" t="s">
        <v>50</v>
      </c>
      <c r="L519" s="23"/>
      <c r="M519" s="11"/>
      <c r="N519" s="9" t="s">
        <v>30</v>
      </c>
      <c r="O519" s="11" t="s">
        <v>31</v>
      </c>
      <c r="P519" s="16" t="s">
        <v>158</v>
      </c>
      <c r="Q519" s="11" t="s">
        <v>1602</v>
      </c>
    </row>
    <row r="520" spans="1:17" ht="66" x14ac:dyDescent="0.25">
      <c r="A520" s="13">
        <v>509</v>
      </c>
      <c r="B520" s="16" t="s">
        <v>1971</v>
      </c>
      <c r="C520" s="9">
        <v>16</v>
      </c>
      <c r="D520" s="9" t="str">
        <f t="shared" ca="1" si="11"/>
        <v>16 বছর 3 মাস 15 দিন</v>
      </c>
      <c r="E520" s="11" t="s">
        <v>1972</v>
      </c>
      <c r="F520" s="14">
        <v>31342</v>
      </c>
      <c r="G520" s="17">
        <v>46023</v>
      </c>
      <c r="H520" s="11" t="s">
        <v>1973</v>
      </c>
      <c r="I520" s="11" t="s">
        <v>552</v>
      </c>
      <c r="J520" s="11" t="s">
        <v>1435</v>
      </c>
      <c r="K520" s="11" t="s">
        <v>50</v>
      </c>
      <c r="L520" s="23">
        <v>46056</v>
      </c>
      <c r="M520" s="11"/>
      <c r="N520" s="9" t="s">
        <v>30</v>
      </c>
      <c r="O520" s="11" t="s">
        <v>31</v>
      </c>
      <c r="P520" s="16" t="s">
        <v>158</v>
      </c>
      <c r="Q520" s="11" t="s">
        <v>831</v>
      </c>
    </row>
    <row r="521" spans="1:17" ht="66" x14ac:dyDescent="0.25">
      <c r="A521" s="13">
        <v>510</v>
      </c>
      <c r="B521" s="16" t="s">
        <v>1974</v>
      </c>
      <c r="C521" s="9">
        <v>17</v>
      </c>
      <c r="D521" s="9" t="str">
        <f t="shared" ca="1" si="11"/>
        <v>17 বছর 3 মাস 15 দিন</v>
      </c>
      <c r="E521" s="11" t="s">
        <v>1975</v>
      </c>
      <c r="F521" s="14">
        <v>31346</v>
      </c>
      <c r="G521" s="17">
        <v>46023</v>
      </c>
      <c r="H521" s="11" t="s">
        <v>1976</v>
      </c>
      <c r="I521" s="11" t="s">
        <v>48</v>
      </c>
      <c r="J521" s="11" t="s">
        <v>1977</v>
      </c>
      <c r="K521" s="11" t="s">
        <v>50</v>
      </c>
      <c r="L521" s="23">
        <v>46051</v>
      </c>
      <c r="M521" s="11"/>
      <c r="N521" s="9" t="s">
        <v>30</v>
      </c>
      <c r="O521" s="11" t="s">
        <v>110</v>
      </c>
      <c r="P521" s="16" t="s">
        <v>158</v>
      </c>
      <c r="Q521" s="11" t="s">
        <v>288</v>
      </c>
    </row>
    <row r="522" spans="1:17" ht="99" x14ac:dyDescent="0.25">
      <c r="A522" s="13">
        <v>511</v>
      </c>
      <c r="B522" s="16" t="s">
        <v>1978</v>
      </c>
      <c r="C522" s="9">
        <v>17</v>
      </c>
      <c r="D522" s="9" t="str">
        <f t="shared" ca="1" si="11"/>
        <v>17 বছর 3 মাস 15 দিন</v>
      </c>
      <c r="E522" s="11" t="s">
        <v>1979</v>
      </c>
      <c r="F522" s="14">
        <v>31348</v>
      </c>
      <c r="G522" s="17">
        <v>46023</v>
      </c>
      <c r="H522" s="11" t="s">
        <v>1980</v>
      </c>
      <c r="I522" s="11" t="s">
        <v>38</v>
      </c>
      <c r="J522" s="11" t="s">
        <v>1981</v>
      </c>
      <c r="K522" s="11" t="s">
        <v>50</v>
      </c>
      <c r="L522" s="23"/>
      <c r="M522" s="11"/>
      <c r="N522" s="9" t="s">
        <v>30</v>
      </c>
      <c r="O522" s="11" t="s">
        <v>34</v>
      </c>
      <c r="P522" s="16" t="s">
        <v>81</v>
      </c>
      <c r="Q522" s="11" t="s">
        <v>82</v>
      </c>
    </row>
    <row r="523" spans="1:17" ht="66" x14ac:dyDescent="0.25">
      <c r="A523" s="13">
        <v>512</v>
      </c>
      <c r="B523" s="16" t="s">
        <v>1982</v>
      </c>
      <c r="C523" s="9">
        <v>16</v>
      </c>
      <c r="D523" s="9" t="str">
        <f t="shared" ca="1" si="11"/>
        <v>16 বছর 3 মাস 14 দিন</v>
      </c>
      <c r="E523" s="11" t="s">
        <v>1983</v>
      </c>
      <c r="F523" s="14">
        <v>31350</v>
      </c>
      <c r="G523" s="17">
        <v>46024</v>
      </c>
      <c r="H523" s="11" t="s">
        <v>1984</v>
      </c>
      <c r="I523" s="11" t="s">
        <v>48</v>
      </c>
      <c r="J523" s="11" t="s">
        <v>1977</v>
      </c>
      <c r="K523" s="11" t="s">
        <v>50</v>
      </c>
      <c r="L523" s="23">
        <v>46051</v>
      </c>
      <c r="M523" s="11"/>
      <c r="N523" s="9" t="s">
        <v>30</v>
      </c>
      <c r="O523" s="11" t="s">
        <v>31</v>
      </c>
      <c r="P523" s="11" t="s">
        <v>356</v>
      </c>
      <c r="Q523" s="11"/>
    </row>
    <row r="524" spans="1:17" ht="66" x14ac:dyDescent="0.25">
      <c r="A524" s="13">
        <v>513</v>
      </c>
      <c r="B524" s="16" t="s">
        <v>1985</v>
      </c>
      <c r="C524" s="9">
        <v>17</v>
      </c>
      <c r="D524" s="9" t="str">
        <f t="shared" ca="1" si="11"/>
        <v>17 বছর 3 মাস 14 দিন</v>
      </c>
      <c r="E524" s="11" t="s">
        <v>1986</v>
      </c>
      <c r="F524" s="14">
        <v>31351</v>
      </c>
      <c r="G524" s="17">
        <v>46024</v>
      </c>
      <c r="H524" s="11" t="s">
        <v>1987</v>
      </c>
      <c r="I524" s="11" t="s">
        <v>48</v>
      </c>
      <c r="J524" s="11" t="s">
        <v>1905</v>
      </c>
      <c r="K524" s="11" t="s">
        <v>50</v>
      </c>
      <c r="L524" s="23">
        <v>46051</v>
      </c>
      <c r="M524" s="11"/>
      <c r="N524" s="9" t="s">
        <v>30</v>
      </c>
      <c r="O524" s="11" t="s">
        <v>100</v>
      </c>
      <c r="P524" s="11" t="s">
        <v>94</v>
      </c>
      <c r="Q524" s="11"/>
    </row>
    <row r="525" spans="1:17" ht="66" x14ac:dyDescent="0.25">
      <c r="A525" s="13">
        <v>514</v>
      </c>
      <c r="B525" s="16" t="s">
        <v>1988</v>
      </c>
      <c r="C525" s="9">
        <v>14</v>
      </c>
      <c r="D525" s="9" t="str">
        <f t="shared" ca="1" si="11"/>
        <v>14 বছর 3 মাস 13 দিন</v>
      </c>
      <c r="E525" s="11" t="s">
        <v>1989</v>
      </c>
      <c r="F525" s="14">
        <v>31354</v>
      </c>
      <c r="G525" s="17">
        <v>46025</v>
      </c>
      <c r="H525" s="11" t="s">
        <v>1990</v>
      </c>
      <c r="I525" s="11"/>
      <c r="J525" s="11" t="s">
        <v>67</v>
      </c>
      <c r="K525" s="11" t="s">
        <v>50</v>
      </c>
      <c r="L525" s="23">
        <v>46050</v>
      </c>
      <c r="M525" s="11"/>
      <c r="N525" s="9" t="s">
        <v>30</v>
      </c>
      <c r="O525" s="11" t="s">
        <v>31</v>
      </c>
      <c r="P525" s="11" t="s">
        <v>356</v>
      </c>
      <c r="Q525" s="11"/>
    </row>
    <row r="526" spans="1:17" ht="66" x14ac:dyDescent="0.25">
      <c r="A526" s="13">
        <v>515</v>
      </c>
      <c r="B526" s="16" t="s">
        <v>1991</v>
      </c>
      <c r="C526" s="9">
        <v>14</v>
      </c>
      <c r="D526" s="9" t="str">
        <f t="shared" ca="1" si="11"/>
        <v>14 বছর 3 মাস 12 দিন</v>
      </c>
      <c r="E526" s="11" t="s">
        <v>1992</v>
      </c>
      <c r="F526" s="14">
        <v>31356</v>
      </c>
      <c r="G526" s="17">
        <v>46026</v>
      </c>
      <c r="H526" s="11" t="s">
        <v>1993</v>
      </c>
      <c r="I526" s="11" t="s">
        <v>265</v>
      </c>
      <c r="J526" s="11" t="s">
        <v>1213</v>
      </c>
      <c r="K526" s="11" t="s">
        <v>50</v>
      </c>
      <c r="L526" s="23">
        <v>46064</v>
      </c>
      <c r="M526" s="11"/>
      <c r="N526" s="9" t="s">
        <v>30</v>
      </c>
      <c r="O526" s="11" t="s">
        <v>31</v>
      </c>
      <c r="P526" s="11" t="s">
        <v>256</v>
      </c>
      <c r="Q526" s="11"/>
    </row>
    <row r="527" spans="1:17" ht="66" x14ac:dyDescent="0.25">
      <c r="A527" s="13">
        <v>516</v>
      </c>
      <c r="B527" s="16" t="s">
        <v>1994</v>
      </c>
      <c r="C527" s="9">
        <v>15</v>
      </c>
      <c r="D527" s="9" t="str">
        <f t="shared" ca="1" si="11"/>
        <v>15 বছর 3 মাস 12 দিন</v>
      </c>
      <c r="E527" s="11" t="s">
        <v>1995</v>
      </c>
      <c r="F527" s="14">
        <v>31357</v>
      </c>
      <c r="G527" s="17">
        <v>46026</v>
      </c>
      <c r="H527" s="11" t="s">
        <v>1996</v>
      </c>
      <c r="I527" s="11" t="s">
        <v>1997</v>
      </c>
      <c r="J527" s="11" t="s">
        <v>1711</v>
      </c>
      <c r="K527" s="11" t="s">
        <v>50</v>
      </c>
      <c r="L527" s="23">
        <v>46037</v>
      </c>
      <c r="M527" s="11"/>
      <c r="N527" s="9" t="s">
        <v>30</v>
      </c>
      <c r="O527" s="11" t="s">
        <v>31</v>
      </c>
      <c r="P527" s="16" t="s">
        <v>158</v>
      </c>
      <c r="Q527" s="11" t="s">
        <v>288</v>
      </c>
    </row>
    <row r="528" spans="1:17" ht="66" x14ac:dyDescent="0.25">
      <c r="A528" s="13">
        <v>517</v>
      </c>
      <c r="B528" s="16" t="s">
        <v>1998</v>
      </c>
      <c r="C528" s="9">
        <v>16</v>
      </c>
      <c r="D528" s="9" t="str">
        <f t="shared" ca="1" si="11"/>
        <v>16 বছর 3 মাস 12 দিন</v>
      </c>
      <c r="E528" s="11" t="s">
        <v>1999</v>
      </c>
      <c r="F528" s="14">
        <v>31359</v>
      </c>
      <c r="G528" s="17">
        <v>46026</v>
      </c>
      <c r="H528" s="11" t="s">
        <v>2000</v>
      </c>
      <c r="I528" s="11" t="s">
        <v>265</v>
      </c>
      <c r="J528" s="11" t="s">
        <v>2001</v>
      </c>
      <c r="K528" s="11" t="s">
        <v>50</v>
      </c>
      <c r="L528" s="23">
        <v>46049</v>
      </c>
      <c r="M528" s="11"/>
      <c r="N528" s="9" t="s">
        <v>30</v>
      </c>
      <c r="O528" s="11" t="s">
        <v>31</v>
      </c>
      <c r="P528" s="11" t="s">
        <v>192</v>
      </c>
      <c r="Q528" s="11"/>
    </row>
    <row r="529" spans="1:17" ht="66" x14ac:dyDescent="0.25">
      <c r="A529" s="13">
        <v>518</v>
      </c>
      <c r="B529" s="16" t="s">
        <v>2002</v>
      </c>
      <c r="C529" s="9">
        <v>15</v>
      </c>
      <c r="D529" s="9" t="str">
        <f t="shared" ca="1" si="11"/>
        <v>15 বছর 3 মাস 12 দিন</v>
      </c>
      <c r="E529" s="11" t="s">
        <v>2003</v>
      </c>
      <c r="F529" s="14">
        <v>31360</v>
      </c>
      <c r="G529" s="17">
        <v>46026</v>
      </c>
      <c r="H529" s="11" t="s">
        <v>2004</v>
      </c>
      <c r="I529" s="11" t="s">
        <v>48</v>
      </c>
      <c r="J529" s="11" t="s">
        <v>2005</v>
      </c>
      <c r="K529" s="11" t="s">
        <v>50</v>
      </c>
      <c r="L529" s="23">
        <v>46051</v>
      </c>
      <c r="M529" s="11"/>
      <c r="N529" s="9" t="s">
        <v>30</v>
      </c>
      <c r="O529" s="11" t="s">
        <v>31</v>
      </c>
      <c r="P529" s="11" t="s">
        <v>180</v>
      </c>
      <c r="Q529" s="11"/>
    </row>
    <row r="530" spans="1:17" ht="66" x14ac:dyDescent="0.25">
      <c r="A530" s="13">
        <v>519</v>
      </c>
      <c r="B530" s="16" t="s">
        <v>2006</v>
      </c>
      <c r="C530" s="9">
        <v>14</v>
      </c>
      <c r="D530" s="9" t="str">
        <f t="shared" ca="1" si="11"/>
        <v>14 বছর 3 মাস 11 দিন</v>
      </c>
      <c r="E530" s="11" t="s">
        <v>2007</v>
      </c>
      <c r="F530" s="14">
        <v>31361</v>
      </c>
      <c r="G530" s="17">
        <v>46027</v>
      </c>
      <c r="H530" s="11" t="s">
        <v>2008</v>
      </c>
      <c r="I530" s="11" t="s">
        <v>27</v>
      </c>
      <c r="J530" s="11" t="s">
        <v>1651</v>
      </c>
      <c r="K530" s="11" t="s">
        <v>50</v>
      </c>
      <c r="L530" s="23">
        <v>46051</v>
      </c>
      <c r="M530" s="11"/>
      <c r="N530" s="9" t="s">
        <v>30</v>
      </c>
      <c r="O530" s="11" t="s">
        <v>31</v>
      </c>
      <c r="P530" s="11" t="s">
        <v>391</v>
      </c>
      <c r="Q530" s="11"/>
    </row>
    <row r="531" spans="1:17" ht="82.5" x14ac:dyDescent="0.25">
      <c r="A531" s="13">
        <v>520</v>
      </c>
      <c r="B531" s="16" t="s">
        <v>2009</v>
      </c>
      <c r="C531" s="9"/>
      <c r="D531" s="9" t="str">
        <f t="shared" ca="1" si="11"/>
        <v>0 বছর 3 মাস 11 দিন</v>
      </c>
      <c r="E531" s="11" t="s">
        <v>2010</v>
      </c>
      <c r="F531" s="14">
        <v>31363</v>
      </c>
      <c r="G531" s="17">
        <v>46027</v>
      </c>
      <c r="H531" s="11" t="s">
        <v>2011</v>
      </c>
      <c r="I531" s="11" t="s">
        <v>964</v>
      </c>
      <c r="J531" s="11" t="s">
        <v>896</v>
      </c>
      <c r="K531" s="11" t="s">
        <v>50</v>
      </c>
      <c r="L531" s="23">
        <v>46041</v>
      </c>
      <c r="M531" s="11"/>
      <c r="N531" s="9" t="s">
        <v>30</v>
      </c>
      <c r="O531" s="11" t="s">
        <v>31</v>
      </c>
      <c r="P531" s="11" t="s">
        <v>325</v>
      </c>
      <c r="Q531" s="11"/>
    </row>
    <row r="532" spans="1:17" ht="66" x14ac:dyDescent="0.25">
      <c r="A532" s="13">
        <v>521</v>
      </c>
      <c r="B532" s="16" t="s">
        <v>2012</v>
      </c>
      <c r="C532" s="9">
        <v>16</v>
      </c>
      <c r="D532" s="9" t="str">
        <f t="shared" ca="1" si="11"/>
        <v>16 বছর 3 মাস 11 দিন</v>
      </c>
      <c r="E532" s="11" t="s">
        <v>2013</v>
      </c>
      <c r="F532" s="14">
        <v>31365</v>
      </c>
      <c r="G532" s="17">
        <v>46027</v>
      </c>
      <c r="H532" s="11" t="s">
        <v>2014</v>
      </c>
      <c r="I532" s="11" t="s">
        <v>27</v>
      </c>
      <c r="J532" s="11" t="s">
        <v>2015</v>
      </c>
      <c r="K532" s="11" t="s">
        <v>50</v>
      </c>
      <c r="L532" s="23">
        <v>46055</v>
      </c>
      <c r="M532" s="11"/>
      <c r="N532" s="9" t="s">
        <v>30</v>
      </c>
      <c r="O532" s="11" t="s">
        <v>31</v>
      </c>
      <c r="P532" s="11" t="s">
        <v>407</v>
      </c>
      <c r="Q532" s="11"/>
    </row>
    <row r="533" spans="1:17" ht="66" x14ac:dyDescent="0.25">
      <c r="A533" s="13">
        <v>522</v>
      </c>
      <c r="B533" s="16" t="s">
        <v>2016</v>
      </c>
      <c r="C533" s="9"/>
      <c r="D533" s="9" t="str">
        <f t="shared" ca="1" si="11"/>
        <v>0 বছর 3 মাস 11 দিন</v>
      </c>
      <c r="E533" s="11" t="s">
        <v>2017</v>
      </c>
      <c r="F533" s="14">
        <v>31366</v>
      </c>
      <c r="G533" s="17">
        <v>46027</v>
      </c>
      <c r="H533" s="11" t="s">
        <v>2018</v>
      </c>
      <c r="I533" s="11" t="s">
        <v>265</v>
      </c>
      <c r="J533" s="11" t="s">
        <v>1977</v>
      </c>
      <c r="K533" s="11" t="s">
        <v>50</v>
      </c>
      <c r="L533" s="23"/>
      <c r="M533" s="11"/>
      <c r="N533" s="9" t="s">
        <v>30</v>
      </c>
      <c r="O533" s="11" t="s">
        <v>31</v>
      </c>
      <c r="P533" s="11" t="s">
        <v>217</v>
      </c>
      <c r="Q533" s="11"/>
    </row>
    <row r="534" spans="1:17" ht="66" x14ac:dyDescent="0.25">
      <c r="A534" s="13">
        <v>523</v>
      </c>
      <c r="B534" s="16" t="s">
        <v>2019</v>
      </c>
      <c r="C534" s="9"/>
      <c r="D534" s="9" t="str">
        <f t="shared" ca="1" si="11"/>
        <v>0 বছর 3 মাস 11 দিন</v>
      </c>
      <c r="E534" s="11" t="s">
        <v>2020</v>
      </c>
      <c r="F534" s="14">
        <v>31368</v>
      </c>
      <c r="G534" s="17">
        <v>46027</v>
      </c>
      <c r="H534" s="11" t="s">
        <v>2021</v>
      </c>
      <c r="I534" s="11" t="s">
        <v>27</v>
      </c>
      <c r="J534" s="11" t="s">
        <v>2022</v>
      </c>
      <c r="K534" s="11" t="s">
        <v>50</v>
      </c>
      <c r="L534" s="23">
        <v>46062</v>
      </c>
      <c r="M534" s="11"/>
      <c r="N534" s="9" t="s">
        <v>30</v>
      </c>
      <c r="O534" s="11" t="s">
        <v>31</v>
      </c>
      <c r="P534" s="11" t="s">
        <v>217</v>
      </c>
      <c r="Q534" s="11"/>
    </row>
    <row r="535" spans="1:17" ht="66" x14ac:dyDescent="0.25">
      <c r="A535" s="13">
        <v>524</v>
      </c>
      <c r="B535" s="16" t="s">
        <v>2023</v>
      </c>
      <c r="C535" s="9">
        <v>15</v>
      </c>
      <c r="D535" s="9" t="str">
        <f t="shared" ca="1" si="11"/>
        <v>15 বছর 3 মাস 11 দিন</v>
      </c>
      <c r="E535" s="11" t="s">
        <v>2024</v>
      </c>
      <c r="F535" s="14">
        <v>31369</v>
      </c>
      <c r="G535" s="17">
        <v>46027</v>
      </c>
      <c r="H535" s="11" t="s">
        <v>2025</v>
      </c>
      <c r="I535" s="11"/>
      <c r="J535" s="11" t="s">
        <v>1711</v>
      </c>
      <c r="K535" s="11" t="s">
        <v>50</v>
      </c>
      <c r="L535" s="23">
        <v>46071</v>
      </c>
      <c r="M535" s="11"/>
      <c r="N535" s="9" t="s">
        <v>30</v>
      </c>
      <c r="O535" s="11" t="s">
        <v>31</v>
      </c>
      <c r="P535" s="16" t="s">
        <v>158</v>
      </c>
      <c r="Q535" s="11" t="s">
        <v>782</v>
      </c>
    </row>
    <row r="536" spans="1:17" ht="66" x14ac:dyDescent="0.25">
      <c r="A536" s="13">
        <v>525</v>
      </c>
      <c r="B536" s="16" t="s">
        <v>2026</v>
      </c>
      <c r="C536" s="9">
        <v>16</v>
      </c>
      <c r="D536" s="9" t="str">
        <f t="shared" ca="1" si="11"/>
        <v>16 বছর 3 মাস 11 দিন</v>
      </c>
      <c r="E536" s="11" t="s">
        <v>2027</v>
      </c>
      <c r="F536" s="14">
        <v>31370</v>
      </c>
      <c r="G536" s="17">
        <v>46027</v>
      </c>
      <c r="H536" s="11" t="s">
        <v>2025</v>
      </c>
      <c r="I536" s="11"/>
      <c r="J536" s="11" t="s">
        <v>1711</v>
      </c>
      <c r="K536" s="11" t="s">
        <v>50</v>
      </c>
      <c r="L536" s="23">
        <v>46071</v>
      </c>
      <c r="M536" s="11"/>
      <c r="N536" s="9" t="s">
        <v>30</v>
      </c>
      <c r="O536" s="11" t="s">
        <v>31</v>
      </c>
      <c r="P536" s="16" t="s">
        <v>158</v>
      </c>
      <c r="Q536" s="11" t="s">
        <v>782</v>
      </c>
    </row>
    <row r="537" spans="1:17" ht="66" x14ac:dyDescent="0.25">
      <c r="A537" s="13">
        <v>526</v>
      </c>
      <c r="B537" s="16" t="s">
        <v>2028</v>
      </c>
      <c r="C537" s="9">
        <v>17</v>
      </c>
      <c r="D537" s="9" t="str">
        <f t="shared" ca="1" si="11"/>
        <v>17 বছর 3 মাস 11 দিন</v>
      </c>
      <c r="E537" s="11" t="s">
        <v>2029</v>
      </c>
      <c r="F537" s="14">
        <v>31373</v>
      </c>
      <c r="G537" s="17">
        <v>46027</v>
      </c>
      <c r="H537" s="11" t="s">
        <v>2030</v>
      </c>
      <c r="I537" s="11"/>
      <c r="J537" s="11" t="s">
        <v>1711</v>
      </c>
      <c r="K537" s="11" t="s">
        <v>50</v>
      </c>
      <c r="L537" s="23">
        <v>46034</v>
      </c>
      <c r="M537" s="11"/>
      <c r="N537" s="9" t="s">
        <v>30</v>
      </c>
      <c r="O537" s="11" t="s">
        <v>100</v>
      </c>
      <c r="P537" s="16" t="s">
        <v>158</v>
      </c>
      <c r="Q537" s="11" t="s">
        <v>960</v>
      </c>
    </row>
    <row r="538" spans="1:17" ht="66" x14ac:dyDescent="0.25">
      <c r="A538" s="13">
        <v>527</v>
      </c>
      <c r="B538" s="16" t="s">
        <v>2031</v>
      </c>
      <c r="C538" s="9">
        <v>16</v>
      </c>
      <c r="D538" s="9" t="str">
        <f t="shared" ca="1" si="11"/>
        <v>16 বছর 3 মাস 11 দিন</v>
      </c>
      <c r="E538" s="11" t="s">
        <v>2032</v>
      </c>
      <c r="F538" s="14">
        <v>31374</v>
      </c>
      <c r="G538" s="17">
        <v>46027</v>
      </c>
      <c r="H538" s="11" t="s">
        <v>2030</v>
      </c>
      <c r="I538" s="11"/>
      <c r="J538" s="11" t="s">
        <v>1711</v>
      </c>
      <c r="K538" s="11" t="s">
        <v>50</v>
      </c>
      <c r="L538" s="23">
        <v>46034</v>
      </c>
      <c r="M538" s="11"/>
      <c r="N538" s="9" t="s">
        <v>30</v>
      </c>
      <c r="O538" s="11" t="s">
        <v>31</v>
      </c>
      <c r="P538" s="16" t="s">
        <v>158</v>
      </c>
      <c r="Q538" s="11" t="s">
        <v>960</v>
      </c>
    </row>
    <row r="539" spans="1:17" ht="66" x14ac:dyDescent="0.25">
      <c r="A539" s="13">
        <v>528</v>
      </c>
      <c r="B539" s="16" t="s">
        <v>2033</v>
      </c>
      <c r="C539" s="9">
        <v>16</v>
      </c>
      <c r="D539" s="9" t="str">
        <f t="shared" ca="1" si="11"/>
        <v>16 বছর 3 মাস 11 দিন</v>
      </c>
      <c r="E539" s="11" t="s">
        <v>2034</v>
      </c>
      <c r="F539" s="14">
        <v>31378</v>
      </c>
      <c r="G539" s="17">
        <v>46027</v>
      </c>
      <c r="H539" s="11" t="s">
        <v>2035</v>
      </c>
      <c r="I539" s="11"/>
      <c r="J539" s="11" t="s">
        <v>1711</v>
      </c>
      <c r="K539" s="11" t="s">
        <v>50</v>
      </c>
      <c r="L539" s="23">
        <v>46035</v>
      </c>
      <c r="M539" s="11"/>
      <c r="N539" s="9" t="s">
        <v>30</v>
      </c>
      <c r="O539" s="11" t="s">
        <v>31</v>
      </c>
      <c r="P539" s="11" t="s">
        <v>256</v>
      </c>
      <c r="Q539" s="11"/>
    </row>
    <row r="540" spans="1:17" ht="66" x14ac:dyDescent="0.25">
      <c r="A540" s="13">
        <v>529</v>
      </c>
      <c r="B540" s="16" t="s">
        <v>2036</v>
      </c>
      <c r="C540" s="9">
        <v>17</v>
      </c>
      <c r="D540" s="9" t="str">
        <f t="shared" ca="1" si="11"/>
        <v>17 বছর 3 মাস 10 দিন</v>
      </c>
      <c r="E540" s="11" t="s">
        <v>2037</v>
      </c>
      <c r="F540" s="14">
        <v>31383</v>
      </c>
      <c r="G540" s="17">
        <v>46028</v>
      </c>
      <c r="H540" s="11" t="s">
        <v>2035</v>
      </c>
      <c r="I540" s="11"/>
      <c r="J540" s="11" t="s">
        <v>1711</v>
      </c>
      <c r="K540" s="11" t="s">
        <v>50</v>
      </c>
      <c r="L540" s="23">
        <v>46035</v>
      </c>
      <c r="M540" s="11"/>
      <c r="N540" s="9" t="s">
        <v>30</v>
      </c>
      <c r="O540" s="11" t="s">
        <v>34</v>
      </c>
      <c r="P540" s="16" t="s">
        <v>158</v>
      </c>
      <c r="Q540" s="11" t="s">
        <v>288</v>
      </c>
    </row>
    <row r="541" spans="1:17" ht="66" x14ac:dyDescent="0.25">
      <c r="A541" s="13">
        <v>530</v>
      </c>
      <c r="B541" s="16" t="s">
        <v>2038</v>
      </c>
      <c r="C541" s="9">
        <v>15</v>
      </c>
      <c r="D541" s="9" t="str">
        <f t="shared" ca="1" si="11"/>
        <v>15 বছর 3 মাস 10 দিন</v>
      </c>
      <c r="E541" s="11" t="s">
        <v>2039</v>
      </c>
      <c r="F541" s="14">
        <v>31385</v>
      </c>
      <c r="G541" s="17">
        <v>46028</v>
      </c>
      <c r="H541" s="11" t="s">
        <v>2040</v>
      </c>
      <c r="I541" s="11" t="s">
        <v>588</v>
      </c>
      <c r="J541" s="11" t="s">
        <v>2022</v>
      </c>
      <c r="K541" s="11" t="s">
        <v>50</v>
      </c>
      <c r="L541" s="23">
        <v>46085</v>
      </c>
      <c r="M541" s="11"/>
      <c r="N541" s="9" t="s">
        <v>30</v>
      </c>
      <c r="O541" s="11" t="s">
        <v>31</v>
      </c>
      <c r="P541" s="11" t="s">
        <v>94</v>
      </c>
      <c r="Q541" s="11"/>
    </row>
    <row r="542" spans="1:17" ht="66" x14ac:dyDescent="0.25">
      <c r="A542" s="13">
        <v>531</v>
      </c>
      <c r="B542" s="16" t="s">
        <v>2041</v>
      </c>
      <c r="C542" s="9">
        <v>17</v>
      </c>
      <c r="D542" s="9" t="str">
        <f t="shared" ca="1" si="11"/>
        <v>17 বছর 3 মাস 10 দিন</v>
      </c>
      <c r="E542" s="11" t="s">
        <v>2042</v>
      </c>
      <c r="F542" s="14">
        <v>31386</v>
      </c>
      <c r="G542" s="17">
        <v>46028</v>
      </c>
      <c r="H542" s="11" t="s">
        <v>2043</v>
      </c>
      <c r="I542" s="11" t="s">
        <v>27</v>
      </c>
      <c r="J542" s="11" t="s">
        <v>1350</v>
      </c>
      <c r="K542" s="11" t="s">
        <v>50</v>
      </c>
      <c r="L542" s="23"/>
      <c r="M542" s="11"/>
      <c r="N542" s="9" t="s">
        <v>30</v>
      </c>
      <c r="O542" s="11" t="s">
        <v>34</v>
      </c>
      <c r="P542" s="11" t="s">
        <v>391</v>
      </c>
      <c r="Q542" s="11"/>
    </row>
    <row r="543" spans="1:17" ht="66" x14ac:dyDescent="0.25">
      <c r="A543" s="13">
        <v>532</v>
      </c>
      <c r="B543" s="16" t="s">
        <v>2044</v>
      </c>
      <c r="C543" s="9">
        <v>16</v>
      </c>
      <c r="D543" s="9" t="str">
        <f t="shared" ca="1" si="11"/>
        <v>16 বছর 3 মাস 10 দিন</v>
      </c>
      <c r="E543" s="11" t="s">
        <v>2045</v>
      </c>
      <c r="F543" s="14">
        <v>31387</v>
      </c>
      <c r="G543" s="17">
        <v>46028</v>
      </c>
      <c r="H543" s="11" t="s">
        <v>2046</v>
      </c>
      <c r="I543" s="11" t="s">
        <v>292</v>
      </c>
      <c r="J543" s="11" t="s">
        <v>2047</v>
      </c>
      <c r="K543" s="11" t="s">
        <v>50</v>
      </c>
      <c r="L543" s="23">
        <v>46044</v>
      </c>
      <c r="M543" s="11"/>
      <c r="N543" s="9" t="s">
        <v>30</v>
      </c>
      <c r="O543" s="11" t="s">
        <v>31</v>
      </c>
      <c r="P543" s="9" t="s">
        <v>94</v>
      </c>
      <c r="Q543" s="11"/>
    </row>
    <row r="544" spans="1:17" ht="66" x14ac:dyDescent="0.25">
      <c r="A544" s="13">
        <v>533</v>
      </c>
      <c r="B544" s="16" t="s">
        <v>2048</v>
      </c>
      <c r="C544" s="9"/>
      <c r="D544" s="9" t="str">
        <f t="shared" ca="1" si="11"/>
        <v>0 বছর 3 মাস 9 দিন</v>
      </c>
      <c r="E544" s="11" t="s">
        <v>2049</v>
      </c>
      <c r="F544" s="14">
        <v>31389</v>
      </c>
      <c r="G544" s="17">
        <v>46029</v>
      </c>
      <c r="H544" s="11" t="s">
        <v>2050</v>
      </c>
      <c r="I544" s="11"/>
      <c r="J544" s="11" t="s">
        <v>1261</v>
      </c>
      <c r="K544" s="11" t="s">
        <v>50</v>
      </c>
      <c r="L544" s="23">
        <v>46106</v>
      </c>
      <c r="M544" s="11"/>
      <c r="N544" s="9" t="s">
        <v>30</v>
      </c>
      <c r="O544" s="11" t="s">
        <v>31</v>
      </c>
      <c r="P544" s="16" t="s">
        <v>158</v>
      </c>
      <c r="Q544" s="11" t="s">
        <v>169</v>
      </c>
    </row>
    <row r="545" spans="1:17" ht="66" x14ac:dyDescent="0.25">
      <c r="A545" s="13">
        <v>534</v>
      </c>
      <c r="B545" s="16" t="s">
        <v>2051</v>
      </c>
      <c r="C545" s="9">
        <v>14</v>
      </c>
      <c r="D545" s="9" t="str">
        <f t="shared" ca="1" si="11"/>
        <v>14 বছর 3 মাস 9 দিন</v>
      </c>
      <c r="E545" s="11" t="s">
        <v>2052</v>
      </c>
      <c r="F545" s="14">
        <v>31391</v>
      </c>
      <c r="G545" s="17">
        <v>46029</v>
      </c>
      <c r="H545" s="11" t="s">
        <v>2053</v>
      </c>
      <c r="I545" s="11" t="s">
        <v>38</v>
      </c>
      <c r="J545" s="11" t="s">
        <v>901</v>
      </c>
      <c r="K545" s="11" t="s">
        <v>50</v>
      </c>
      <c r="L545" s="23">
        <v>46061</v>
      </c>
      <c r="M545" s="11"/>
      <c r="N545" s="9" t="s">
        <v>30</v>
      </c>
      <c r="O545" s="11" t="s">
        <v>31</v>
      </c>
      <c r="P545" s="11" t="s">
        <v>192</v>
      </c>
      <c r="Q545" s="11"/>
    </row>
    <row r="546" spans="1:17" ht="66" x14ac:dyDescent="0.25">
      <c r="A546" s="13">
        <v>535</v>
      </c>
      <c r="B546" s="16" t="s">
        <v>2054</v>
      </c>
      <c r="C546" s="9">
        <v>19</v>
      </c>
      <c r="D546" s="9" t="str">
        <f t="shared" ca="1" si="11"/>
        <v>19 বছর 3 মাস 9 দিন</v>
      </c>
      <c r="E546" s="11" t="s">
        <v>2055</v>
      </c>
      <c r="F546" s="14">
        <v>31393</v>
      </c>
      <c r="G546" s="17">
        <v>46029</v>
      </c>
      <c r="H546" s="11" t="s">
        <v>2056</v>
      </c>
      <c r="I546" s="11" t="s">
        <v>27</v>
      </c>
      <c r="J546" s="11" t="s">
        <v>1888</v>
      </c>
      <c r="K546" s="11" t="s">
        <v>50</v>
      </c>
      <c r="L546" s="23">
        <v>46035</v>
      </c>
      <c r="M546" s="11"/>
      <c r="N546" s="9" t="s">
        <v>30</v>
      </c>
      <c r="O546" s="11" t="s">
        <v>34</v>
      </c>
      <c r="P546" s="16" t="s">
        <v>158</v>
      </c>
      <c r="Q546" s="11" t="s">
        <v>169</v>
      </c>
    </row>
    <row r="547" spans="1:17" ht="66" x14ac:dyDescent="0.25">
      <c r="A547" s="13">
        <v>536</v>
      </c>
      <c r="B547" s="16" t="s">
        <v>2057</v>
      </c>
      <c r="C547" s="9">
        <v>17</v>
      </c>
      <c r="D547" s="9" t="str">
        <f t="shared" ca="1" si="11"/>
        <v>17 বছর 3 মাস 8 দিন</v>
      </c>
      <c r="E547" s="11" t="s">
        <v>2058</v>
      </c>
      <c r="F547" s="14">
        <v>31396</v>
      </c>
      <c r="G547" s="17">
        <v>46030</v>
      </c>
      <c r="H547" s="11" t="s">
        <v>2059</v>
      </c>
      <c r="I547" s="11"/>
      <c r="J547" s="11" t="s">
        <v>882</v>
      </c>
      <c r="K547" s="11" t="s">
        <v>50</v>
      </c>
      <c r="L547" s="23">
        <v>46030</v>
      </c>
      <c r="M547" s="11"/>
      <c r="N547" s="9" t="s">
        <v>929</v>
      </c>
      <c r="O547" s="11" t="s">
        <v>31</v>
      </c>
      <c r="P547" s="16" t="s">
        <v>158</v>
      </c>
      <c r="Q547" s="11" t="s">
        <v>283</v>
      </c>
    </row>
    <row r="548" spans="1:17" ht="51" customHeight="1" x14ac:dyDescent="0.25">
      <c r="A548" s="13">
        <v>537</v>
      </c>
      <c r="B548" s="16" t="s">
        <v>2060</v>
      </c>
      <c r="C548" s="9">
        <v>16</v>
      </c>
      <c r="D548" s="9" t="str">
        <f t="shared" ca="1" si="11"/>
        <v>16 বছর 3 মাস 8 দিন</v>
      </c>
      <c r="E548" s="11" t="s">
        <v>2061</v>
      </c>
      <c r="F548" s="14">
        <v>31397</v>
      </c>
      <c r="G548" s="17">
        <v>46030</v>
      </c>
      <c r="H548" s="11" t="s">
        <v>2062</v>
      </c>
      <c r="I548" s="11"/>
      <c r="J548" s="11" t="s">
        <v>882</v>
      </c>
      <c r="K548" s="11" t="s">
        <v>50</v>
      </c>
      <c r="L548" s="23">
        <v>46050</v>
      </c>
      <c r="M548" s="11"/>
      <c r="N548" s="9" t="s">
        <v>929</v>
      </c>
      <c r="O548" s="11" t="s">
        <v>31</v>
      </c>
      <c r="P548" s="16" t="s">
        <v>158</v>
      </c>
      <c r="Q548" s="11" t="s">
        <v>288</v>
      </c>
    </row>
    <row r="549" spans="1:17" ht="66" x14ac:dyDescent="0.25">
      <c r="A549" s="13">
        <v>538</v>
      </c>
      <c r="B549" s="16" t="s">
        <v>2063</v>
      </c>
      <c r="C549" s="9">
        <v>15</v>
      </c>
      <c r="D549" s="9" t="str">
        <f t="shared" ca="1" si="11"/>
        <v>15 বছর 3 মাস 7 দিন</v>
      </c>
      <c r="E549" s="11" t="s">
        <v>2064</v>
      </c>
      <c r="F549" s="14">
        <v>31398</v>
      </c>
      <c r="G549" s="17">
        <v>46031</v>
      </c>
      <c r="H549" s="11" t="s">
        <v>2004</v>
      </c>
      <c r="I549" s="11" t="s">
        <v>48</v>
      </c>
      <c r="J549" s="11" t="s">
        <v>2005</v>
      </c>
      <c r="K549" s="11" t="s">
        <v>50</v>
      </c>
      <c r="L549" s="23">
        <v>46051</v>
      </c>
      <c r="M549" s="11"/>
      <c r="N549" s="9" t="s">
        <v>929</v>
      </c>
      <c r="O549" s="11" t="s">
        <v>31</v>
      </c>
      <c r="P549" s="11" t="s">
        <v>377</v>
      </c>
      <c r="Q549" s="11"/>
    </row>
    <row r="550" spans="1:17" ht="66" x14ac:dyDescent="0.25">
      <c r="A550" s="13">
        <v>539</v>
      </c>
      <c r="B550" s="16" t="s">
        <v>2065</v>
      </c>
      <c r="C550" s="9">
        <v>16</v>
      </c>
      <c r="D550" s="9" t="str">
        <f t="shared" ca="1" si="11"/>
        <v>16 বছর 3 মাস 7 দিন</v>
      </c>
      <c r="E550" s="11" t="s">
        <v>2066</v>
      </c>
      <c r="F550" s="14">
        <v>31399</v>
      </c>
      <c r="G550" s="17">
        <v>46031</v>
      </c>
      <c r="H550" s="11" t="s">
        <v>2067</v>
      </c>
      <c r="I550" s="11" t="s">
        <v>196</v>
      </c>
      <c r="J550" s="11" t="s">
        <v>1063</v>
      </c>
      <c r="K550" s="11" t="s">
        <v>50</v>
      </c>
      <c r="L550" s="23">
        <v>46037</v>
      </c>
      <c r="M550" s="11"/>
      <c r="N550" s="9" t="s">
        <v>929</v>
      </c>
      <c r="O550" s="11" t="s">
        <v>31</v>
      </c>
      <c r="P550" s="16" t="s">
        <v>158</v>
      </c>
      <c r="Q550" s="11" t="s">
        <v>288</v>
      </c>
    </row>
    <row r="551" spans="1:17" ht="66" x14ac:dyDescent="0.25">
      <c r="A551" s="13">
        <v>540</v>
      </c>
      <c r="B551" s="16" t="s">
        <v>2068</v>
      </c>
      <c r="C551" s="9">
        <v>16</v>
      </c>
      <c r="D551" s="9" t="str">
        <f t="shared" ca="1" si="11"/>
        <v>16 বছর 3 মাস 7 দিন</v>
      </c>
      <c r="E551" s="11" t="s">
        <v>2069</v>
      </c>
      <c r="F551" s="14">
        <v>31402</v>
      </c>
      <c r="G551" s="17">
        <v>46031</v>
      </c>
      <c r="H551" s="11" t="s">
        <v>2070</v>
      </c>
      <c r="I551" s="11" t="s">
        <v>38</v>
      </c>
      <c r="J551" s="11" t="s">
        <v>1200</v>
      </c>
      <c r="K551" s="11" t="s">
        <v>50</v>
      </c>
      <c r="L551" s="23" t="s">
        <v>2071</v>
      </c>
      <c r="M551" s="11"/>
      <c r="N551" s="9" t="s">
        <v>929</v>
      </c>
      <c r="O551" s="11" t="s">
        <v>31</v>
      </c>
      <c r="P551" s="16" t="s">
        <v>158</v>
      </c>
      <c r="Q551" s="11" t="s">
        <v>2072</v>
      </c>
    </row>
    <row r="552" spans="1:17" ht="66" x14ac:dyDescent="0.25">
      <c r="A552" s="13">
        <v>541</v>
      </c>
      <c r="B552" s="16" t="s">
        <v>2073</v>
      </c>
      <c r="C552" s="9"/>
      <c r="D552" s="9" t="str">
        <f t="shared" ca="1" si="11"/>
        <v>0 বছর 3 মাস 6 দিন</v>
      </c>
      <c r="E552" s="11" t="s">
        <v>2074</v>
      </c>
      <c r="F552" s="14">
        <v>31407</v>
      </c>
      <c r="G552" s="17">
        <v>46032</v>
      </c>
      <c r="H552" s="11" t="s">
        <v>2004</v>
      </c>
      <c r="I552" s="11" t="s">
        <v>48</v>
      </c>
      <c r="J552" s="11" t="s">
        <v>2005</v>
      </c>
      <c r="K552" s="11" t="s">
        <v>50</v>
      </c>
      <c r="L552" s="23">
        <v>46051</v>
      </c>
      <c r="M552" s="11"/>
      <c r="N552" s="9" t="s">
        <v>929</v>
      </c>
      <c r="O552" s="11" t="s">
        <v>31</v>
      </c>
      <c r="P552" s="11" t="s">
        <v>356</v>
      </c>
      <c r="Q552" s="11"/>
    </row>
    <row r="553" spans="1:17" ht="66" x14ac:dyDescent="0.25">
      <c r="A553" s="13">
        <v>542</v>
      </c>
      <c r="B553" s="16" t="s">
        <v>2075</v>
      </c>
      <c r="C553" s="9">
        <v>15</v>
      </c>
      <c r="D553" s="9" t="str">
        <f t="shared" ca="1" si="11"/>
        <v>15 বছর 3 মাস 5 দিন</v>
      </c>
      <c r="E553" s="11" t="s">
        <v>2076</v>
      </c>
      <c r="F553" s="14">
        <v>31409</v>
      </c>
      <c r="G553" s="17">
        <v>46033</v>
      </c>
      <c r="H553" s="11" t="s">
        <v>2077</v>
      </c>
      <c r="I553" s="11" t="s">
        <v>265</v>
      </c>
      <c r="J553" s="11" t="s">
        <v>1623</v>
      </c>
      <c r="K553" s="11" t="s">
        <v>50</v>
      </c>
      <c r="L553" s="23">
        <v>46049</v>
      </c>
      <c r="M553" s="11"/>
      <c r="N553" s="9" t="s">
        <v>929</v>
      </c>
      <c r="O553" s="11" t="s">
        <v>31</v>
      </c>
      <c r="P553" s="11" t="s">
        <v>192</v>
      </c>
      <c r="Q553" s="11"/>
    </row>
    <row r="554" spans="1:17" ht="66" x14ac:dyDescent="0.25">
      <c r="A554" s="13">
        <v>543</v>
      </c>
      <c r="B554" s="16" t="s">
        <v>2078</v>
      </c>
      <c r="C554" s="9">
        <v>15</v>
      </c>
      <c r="D554" s="9" t="str">
        <f t="shared" ca="1" si="11"/>
        <v>15 বছর 3 মাস 4 দিন</v>
      </c>
      <c r="E554" s="11" t="s">
        <v>2079</v>
      </c>
      <c r="F554" s="14">
        <v>31415</v>
      </c>
      <c r="G554" s="17">
        <v>46034</v>
      </c>
      <c r="H554" s="11" t="s">
        <v>2080</v>
      </c>
      <c r="I554" s="11" t="s">
        <v>48</v>
      </c>
      <c r="J554" s="11" t="s">
        <v>2081</v>
      </c>
      <c r="K554" s="11" t="s">
        <v>50</v>
      </c>
      <c r="L554" s="23">
        <v>46054</v>
      </c>
      <c r="M554" s="11"/>
      <c r="N554" s="9" t="s">
        <v>929</v>
      </c>
      <c r="O554" s="11" t="s">
        <v>31</v>
      </c>
      <c r="P554" s="11" t="s">
        <v>192</v>
      </c>
      <c r="Q554" s="11"/>
    </row>
    <row r="555" spans="1:17" ht="66" x14ac:dyDescent="0.25">
      <c r="A555" s="13">
        <v>544</v>
      </c>
      <c r="B555" s="16" t="s">
        <v>2082</v>
      </c>
      <c r="C555" s="9">
        <v>17</v>
      </c>
      <c r="D555" s="9" t="str">
        <f t="shared" ca="1" si="11"/>
        <v>17 বছর 3 মাস 4 দিন</v>
      </c>
      <c r="E555" s="11" t="s">
        <v>2083</v>
      </c>
      <c r="F555" s="14">
        <v>31416</v>
      </c>
      <c r="G555" s="17">
        <v>46034</v>
      </c>
      <c r="H555" s="11" t="s">
        <v>2084</v>
      </c>
      <c r="I555" s="11" t="s">
        <v>27</v>
      </c>
      <c r="J555" s="11" t="s">
        <v>1213</v>
      </c>
      <c r="K555" s="11" t="s">
        <v>50</v>
      </c>
      <c r="L555" s="23">
        <v>46055</v>
      </c>
      <c r="M555" s="11"/>
      <c r="N555" s="9" t="s">
        <v>929</v>
      </c>
      <c r="O555" s="11" t="s">
        <v>34</v>
      </c>
      <c r="P555" s="16" t="s">
        <v>158</v>
      </c>
      <c r="Q555" s="11" t="s">
        <v>873</v>
      </c>
    </row>
    <row r="556" spans="1:17" ht="66" x14ac:dyDescent="0.25">
      <c r="A556" s="13">
        <v>545</v>
      </c>
      <c r="B556" s="16" t="s">
        <v>2085</v>
      </c>
      <c r="C556" s="9">
        <v>15</v>
      </c>
      <c r="D556" s="9" t="str">
        <f t="shared" ca="1" si="11"/>
        <v>15 বছর 3 মাস 4 দিন</v>
      </c>
      <c r="E556" s="11" t="s">
        <v>2086</v>
      </c>
      <c r="F556" s="14">
        <v>31417</v>
      </c>
      <c r="G556" s="17">
        <v>46034</v>
      </c>
      <c r="H556" s="11" t="s">
        <v>2087</v>
      </c>
      <c r="I556" s="11" t="s">
        <v>265</v>
      </c>
      <c r="J556" s="11" t="s">
        <v>1213</v>
      </c>
      <c r="K556" s="11" t="s">
        <v>50</v>
      </c>
      <c r="L556" s="23">
        <v>46051</v>
      </c>
      <c r="M556" s="11"/>
      <c r="N556" s="9" t="s">
        <v>929</v>
      </c>
      <c r="O556" s="11" t="s">
        <v>31</v>
      </c>
      <c r="P556" s="11" t="s">
        <v>407</v>
      </c>
      <c r="Q556" s="11"/>
    </row>
    <row r="557" spans="1:17" ht="66" x14ac:dyDescent="0.25">
      <c r="A557" s="13">
        <v>546</v>
      </c>
      <c r="B557" s="16" t="s">
        <v>2088</v>
      </c>
      <c r="C557" s="9">
        <v>17</v>
      </c>
      <c r="D557" s="9" t="str">
        <f t="shared" ca="1" si="11"/>
        <v>17 বছর 3 মাস 4 দিন</v>
      </c>
      <c r="E557" s="11" t="s">
        <v>2089</v>
      </c>
      <c r="F557" s="14">
        <v>31418</v>
      </c>
      <c r="G557" s="17">
        <v>46034</v>
      </c>
      <c r="H557" s="11" t="s">
        <v>2090</v>
      </c>
      <c r="I557" s="11" t="s">
        <v>196</v>
      </c>
      <c r="J557" s="11" t="s">
        <v>1213</v>
      </c>
      <c r="K557" s="11" t="s">
        <v>50</v>
      </c>
      <c r="L557" s="23">
        <v>46072</v>
      </c>
      <c r="M557" s="11"/>
      <c r="N557" s="9" t="s">
        <v>929</v>
      </c>
      <c r="O557" s="11" t="s">
        <v>34</v>
      </c>
      <c r="P557" s="16" t="s">
        <v>158</v>
      </c>
      <c r="Q557" s="11" t="s">
        <v>1025</v>
      </c>
    </row>
    <row r="558" spans="1:17" ht="66" x14ac:dyDescent="0.25">
      <c r="A558" s="13">
        <v>547</v>
      </c>
      <c r="B558" s="16" t="s">
        <v>2091</v>
      </c>
      <c r="C558" s="9">
        <v>17</v>
      </c>
      <c r="D558" s="9" t="str">
        <f t="shared" ca="1" si="11"/>
        <v>17 বছর 3 মাস 3 দিন</v>
      </c>
      <c r="E558" s="11" t="s">
        <v>2092</v>
      </c>
      <c r="F558" s="14">
        <v>31422</v>
      </c>
      <c r="G558" s="17">
        <v>46035</v>
      </c>
      <c r="H558" s="11" t="s">
        <v>2093</v>
      </c>
      <c r="I558" s="11"/>
      <c r="J558" s="11" t="s">
        <v>1231</v>
      </c>
      <c r="K558" s="11" t="s">
        <v>50</v>
      </c>
      <c r="L558" s="23">
        <v>46077</v>
      </c>
      <c r="M558" s="11"/>
      <c r="N558" s="9" t="s">
        <v>929</v>
      </c>
      <c r="O558" s="11" t="s">
        <v>31</v>
      </c>
      <c r="P558" s="11" t="s">
        <v>94</v>
      </c>
      <c r="Q558" s="11"/>
    </row>
    <row r="559" spans="1:17" ht="52.5" customHeight="1" x14ac:dyDescent="0.25">
      <c r="A559" s="13">
        <v>548</v>
      </c>
      <c r="B559" s="16" t="s">
        <v>2094</v>
      </c>
      <c r="C559" s="9">
        <v>16</v>
      </c>
      <c r="D559" s="9" t="str">
        <f t="shared" ca="1" si="11"/>
        <v>16 বছর 3 মাস 2 দিন</v>
      </c>
      <c r="E559" s="11" t="s">
        <v>2095</v>
      </c>
      <c r="F559" s="14">
        <v>31423</v>
      </c>
      <c r="G559" s="17">
        <v>46036</v>
      </c>
      <c r="H559" s="11" t="s">
        <v>2096</v>
      </c>
      <c r="I559" s="11" t="s">
        <v>27</v>
      </c>
      <c r="J559" s="11" t="s">
        <v>1261</v>
      </c>
      <c r="K559" s="11" t="s">
        <v>50</v>
      </c>
      <c r="L559" s="23">
        <v>46075</v>
      </c>
      <c r="M559" s="11"/>
      <c r="N559" s="9" t="s">
        <v>929</v>
      </c>
      <c r="O559" s="11" t="s">
        <v>34</v>
      </c>
      <c r="P559" s="16" t="s">
        <v>158</v>
      </c>
      <c r="Q559" s="11" t="s">
        <v>288</v>
      </c>
    </row>
    <row r="560" spans="1:17" ht="66" x14ac:dyDescent="0.25">
      <c r="A560" s="13">
        <v>549</v>
      </c>
      <c r="B560" s="16" t="s">
        <v>2097</v>
      </c>
      <c r="C560" s="9">
        <v>16</v>
      </c>
      <c r="D560" s="9" t="str">
        <f t="shared" ca="1" si="11"/>
        <v>16 বছর 3 মাস 2 দিন</v>
      </c>
      <c r="E560" s="11" t="s">
        <v>2098</v>
      </c>
      <c r="F560" s="14">
        <v>31424</v>
      </c>
      <c r="G560" s="17">
        <v>46036</v>
      </c>
      <c r="H560" s="11" t="s">
        <v>2099</v>
      </c>
      <c r="I560" s="11"/>
      <c r="J560" s="11" t="s">
        <v>1350</v>
      </c>
      <c r="K560" s="11" t="s">
        <v>50</v>
      </c>
      <c r="L560" s="23"/>
      <c r="M560" s="11"/>
      <c r="N560" s="9" t="s">
        <v>929</v>
      </c>
      <c r="O560" s="11" t="s">
        <v>34</v>
      </c>
      <c r="P560" s="11" t="s">
        <v>256</v>
      </c>
      <c r="Q560" s="11"/>
    </row>
    <row r="561" spans="1:17" ht="49.5" customHeight="1" x14ac:dyDescent="0.25">
      <c r="A561" s="13">
        <v>550</v>
      </c>
      <c r="B561" s="16" t="s">
        <v>2100</v>
      </c>
      <c r="C561" s="9">
        <v>17</v>
      </c>
      <c r="D561" s="9" t="str">
        <f t="shared" ca="1" si="11"/>
        <v>17 বছর 3 মাস 2 দিন</v>
      </c>
      <c r="E561" s="11" t="s">
        <v>2101</v>
      </c>
      <c r="F561" s="14">
        <v>31426</v>
      </c>
      <c r="G561" s="17">
        <v>46036</v>
      </c>
      <c r="H561" s="11" t="s">
        <v>2102</v>
      </c>
      <c r="I561" s="11" t="s">
        <v>196</v>
      </c>
      <c r="J561" s="11" t="s">
        <v>1704</v>
      </c>
      <c r="K561" s="11" t="s">
        <v>50</v>
      </c>
      <c r="L561" s="23">
        <v>46062</v>
      </c>
      <c r="M561" s="11"/>
      <c r="N561" s="9" t="s">
        <v>929</v>
      </c>
      <c r="O561" s="11" t="s">
        <v>100</v>
      </c>
      <c r="P561" s="16" t="s">
        <v>158</v>
      </c>
      <c r="Q561" s="11" t="s">
        <v>873</v>
      </c>
    </row>
    <row r="562" spans="1:17" ht="66" x14ac:dyDescent="0.25">
      <c r="A562" s="13">
        <v>551</v>
      </c>
      <c r="B562" s="16" t="s">
        <v>2103</v>
      </c>
      <c r="C562" s="9"/>
      <c r="D562" s="9" t="str">
        <f t="shared" ca="1" si="11"/>
        <v>0 বছর 3 মাস 2 দিন</v>
      </c>
      <c r="E562" s="11" t="s">
        <v>2104</v>
      </c>
      <c r="F562" s="14">
        <v>31427</v>
      </c>
      <c r="G562" s="17">
        <v>46036</v>
      </c>
      <c r="H562" s="11" t="s">
        <v>2105</v>
      </c>
      <c r="I562" s="11" t="s">
        <v>38</v>
      </c>
      <c r="J562" s="11" t="s">
        <v>1704</v>
      </c>
      <c r="K562" s="11" t="s">
        <v>50</v>
      </c>
      <c r="L562" s="23">
        <v>46076</v>
      </c>
      <c r="M562" s="11"/>
      <c r="N562" s="9" t="s">
        <v>929</v>
      </c>
      <c r="O562" s="11" t="s">
        <v>31</v>
      </c>
      <c r="P562" s="11" t="s">
        <v>192</v>
      </c>
      <c r="Q562" s="11"/>
    </row>
    <row r="563" spans="1:17" ht="66" x14ac:dyDescent="0.25">
      <c r="A563" s="13">
        <v>552</v>
      </c>
      <c r="B563" s="16" t="s">
        <v>2106</v>
      </c>
      <c r="C563" s="9"/>
      <c r="D563" s="9" t="str">
        <f t="shared" ca="1" si="11"/>
        <v>0 বছর 3 মাস 2 দিন</v>
      </c>
      <c r="E563" s="11" t="s">
        <v>2107</v>
      </c>
      <c r="F563" s="14">
        <v>31429</v>
      </c>
      <c r="G563" s="17">
        <v>46036</v>
      </c>
      <c r="H563" s="11" t="s">
        <v>2108</v>
      </c>
      <c r="I563" s="11"/>
      <c r="J563" s="11" t="s">
        <v>882</v>
      </c>
      <c r="K563" s="11" t="s">
        <v>50</v>
      </c>
      <c r="L563" s="23">
        <v>46035</v>
      </c>
      <c r="M563" s="11"/>
      <c r="N563" s="9" t="s">
        <v>929</v>
      </c>
      <c r="O563" s="11" t="s">
        <v>31</v>
      </c>
      <c r="P563" s="11" t="s">
        <v>407</v>
      </c>
      <c r="Q563" s="11"/>
    </row>
    <row r="564" spans="1:17" ht="66" x14ac:dyDescent="0.25">
      <c r="A564" s="13">
        <v>553</v>
      </c>
      <c r="B564" s="16" t="s">
        <v>2109</v>
      </c>
      <c r="C564" s="9">
        <v>16</v>
      </c>
      <c r="D564" s="9" t="str">
        <f t="shared" ca="1" si="11"/>
        <v>16 বছর 3 মাস 2 দিন</v>
      </c>
      <c r="E564" s="11" t="s">
        <v>2110</v>
      </c>
      <c r="F564" s="14">
        <v>31430</v>
      </c>
      <c r="G564" s="17">
        <v>46036</v>
      </c>
      <c r="H564" s="11" t="s">
        <v>2111</v>
      </c>
      <c r="I564" s="11"/>
      <c r="J564" s="11" t="s">
        <v>882</v>
      </c>
      <c r="K564" s="11" t="s">
        <v>50</v>
      </c>
      <c r="L564" s="23">
        <v>46041</v>
      </c>
      <c r="M564" s="11"/>
      <c r="N564" s="9" t="s">
        <v>929</v>
      </c>
      <c r="O564" s="11" t="s">
        <v>34</v>
      </c>
      <c r="P564" s="9" t="s">
        <v>217</v>
      </c>
      <c r="Q564" s="11"/>
    </row>
    <row r="565" spans="1:17" ht="82.5" x14ac:dyDescent="0.25">
      <c r="A565" s="13">
        <v>554</v>
      </c>
      <c r="B565" s="16" t="s">
        <v>2112</v>
      </c>
      <c r="C565" s="9"/>
      <c r="D565" s="9" t="str">
        <f t="shared" ca="1" si="11"/>
        <v>0 বছর 3 মাস 2 দিন</v>
      </c>
      <c r="E565" s="11" t="s">
        <v>2113</v>
      </c>
      <c r="F565" s="14">
        <v>31432</v>
      </c>
      <c r="G565" s="17">
        <v>46036</v>
      </c>
      <c r="H565" s="11" t="s">
        <v>2114</v>
      </c>
      <c r="I565" s="11" t="s">
        <v>27</v>
      </c>
      <c r="J565" s="11" t="s">
        <v>1527</v>
      </c>
      <c r="K565" s="11" t="s">
        <v>50</v>
      </c>
      <c r="L565" s="23">
        <v>46070</v>
      </c>
      <c r="M565" s="11"/>
      <c r="N565" s="9" t="s">
        <v>929</v>
      </c>
      <c r="O565" s="11" t="s">
        <v>31</v>
      </c>
      <c r="P565" s="11" t="s">
        <v>256</v>
      </c>
      <c r="Q565" s="11"/>
    </row>
    <row r="566" spans="1:17" ht="66" x14ac:dyDescent="0.25">
      <c r="A566" s="13">
        <v>555</v>
      </c>
      <c r="B566" s="16" t="s">
        <v>2115</v>
      </c>
      <c r="C566" s="9">
        <v>15</v>
      </c>
      <c r="D566" s="9" t="str">
        <f t="shared" ca="1" si="11"/>
        <v>15 বছর 3 মাস 2 দিন</v>
      </c>
      <c r="E566" s="11" t="s">
        <v>2116</v>
      </c>
      <c r="F566" s="14">
        <v>31433</v>
      </c>
      <c r="G566" s="17">
        <v>46036</v>
      </c>
      <c r="H566" s="11" t="s">
        <v>2117</v>
      </c>
      <c r="I566" s="11" t="s">
        <v>196</v>
      </c>
      <c r="J566" s="11" t="s">
        <v>1905</v>
      </c>
      <c r="K566" s="11" t="s">
        <v>50</v>
      </c>
      <c r="L566" s="23">
        <v>46106</v>
      </c>
      <c r="M566" s="11"/>
      <c r="N566" s="9" t="s">
        <v>30</v>
      </c>
      <c r="O566" s="11" t="s">
        <v>31</v>
      </c>
      <c r="P566" s="16" t="s">
        <v>158</v>
      </c>
      <c r="Q566" s="11" t="s">
        <v>1677</v>
      </c>
    </row>
    <row r="567" spans="1:17" ht="64.5" customHeight="1" x14ac:dyDescent="0.25">
      <c r="A567" s="13">
        <v>556</v>
      </c>
      <c r="B567" s="16" t="s">
        <v>2118</v>
      </c>
      <c r="C567" s="9">
        <v>15</v>
      </c>
      <c r="D567" s="9" t="str">
        <f t="shared" ca="1" si="11"/>
        <v>15 বছর 3 মাস 1 দিন</v>
      </c>
      <c r="E567" s="11" t="s">
        <v>2119</v>
      </c>
      <c r="F567" s="14">
        <v>31434</v>
      </c>
      <c r="G567" s="17">
        <v>46037</v>
      </c>
      <c r="H567" s="11" t="s">
        <v>2120</v>
      </c>
      <c r="I567" s="11" t="s">
        <v>38</v>
      </c>
      <c r="J567" s="11" t="s">
        <v>1343</v>
      </c>
      <c r="K567" s="11" t="s">
        <v>50</v>
      </c>
      <c r="L567" s="23">
        <v>46077</v>
      </c>
      <c r="M567" s="11"/>
      <c r="N567" s="9" t="s">
        <v>929</v>
      </c>
      <c r="O567" s="11" t="s">
        <v>31</v>
      </c>
      <c r="P567" s="9" t="s">
        <v>88</v>
      </c>
      <c r="Q567" s="11"/>
    </row>
    <row r="568" spans="1:17" ht="66" x14ac:dyDescent="0.25">
      <c r="A568" s="13">
        <v>557</v>
      </c>
      <c r="B568" s="16" t="s">
        <v>2121</v>
      </c>
      <c r="C568" s="9">
        <v>17</v>
      </c>
      <c r="D568" s="9" t="str">
        <f t="shared" ca="1" si="11"/>
        <v>17 বছর 3 মাস 1 দিন</v>
      </c>
      <c r="E568" s="11" t="s">
        <v>2122</v>
      </c>
      <c r="F568" s="14">
        <v>31435</v>
      </c>
      <c r="G568" s="17">
        <v>46037</v>
      </c>
      <c r="H568" s="11" t="s">
        <v>2123</v>
      </c>
      <c r="I568" s="11" t="s">
        <v>38</v>
      </c>
      <c r="J568" s="11" t="s">
        <v>1343</v>
      </c>
      <c r="K568" s="11" t="s">
        <v>50</v>
      </c>
      <c r="L568" s="23"/>
      <c r="M568" s="11"/>
      <c r="N568" s="9" t="s">
        <v>929</v>
      </c>
      <c r="O568" s="11" t="s">
        <v>34</v>
      </c>
      <c r="P568" s="16" t="s">
        <v>158</v>
      </c>
      <c r="Q568" s="11" t="s">
        <v>1746</v>
      </c>
    </row>
    <row r="569" spans="1:17" ht="66" x14ac:dyDescent="0.25">
      <c r="A569" s="13">
        <v>558</v>
      </c>
      <c r="B569" s="16" t="s">
        <v>2124</v>
      </c>
      <c r="C569" s="9">
        <v>17</v>
      </c>
      <c r="D569" s="9" t="str">
        <f t="shared" ca="1" si="11"/>
        <v>17 বছর 3 মাস 1 দিন</v>
      </c>
      <c r="E569" s="11" t="s">
        <v>2125</v>
      </c>
      <c r="F569" s="14">
        <v>31436</v>
      </c>
      <c r="G569" s="17">
        <v>46037</v>
      </c>
      <c r="H569" s="11" t="s">
        <v>2126</v>
      </c>
      <c r="I569" s="11" t="s">
        <v>48</v>
      </c>
      <c r="J569" s="11" t="s">
        <v>1651</v>
      </c>
      <c r="K569" s="11" t="s">
        <v>50</v>
      </c>
      <c r="L569" s="23"/>
      <c r="M569" s="11"/>
      <c r="N569" s="9" t="s">
        <v>929</v>
      </c>
      <c r="O569" s="11" t="s">
        <v>34</v>
      </c>
      <c r="P569" s="9" t="s">
        <v>192</v>
      </c>
      <c r="Q569" s="11"/>
    </row>
    <row r="570" spans="1:17" ht="66" x14ac:dyDescent="0.25">
      <c r="A570" s="13">
        <v>559</v>
      </c>
      <c r="B570" s="16" t="s">
        <v>2127</v>
      </c>
      <c r="C570" s="9">
        <v>17</v>
      </c>
      <c r="D570" s="9" t="str">
        <f t="shared" ca="1" si="11"/>
        <v>17 বছর 3 মাস 1 দিন</v>
      </c>
      <c r="E570" s="11" t="s">
        <v>2128</v>
      </c>
      <c r="F570" s="14">
        <v>31437</v>
      </c>
      <c r="G570" s="17">
        <v>46037</v>
      </c>
      <c r="H570" s="11" t="s">
        <v>2123</v>
      </c>
      <c r="I570" s="11" t="s">
        <v>38</v>
      </c>
      <c r="J570" s="11" t="s">
        <v>1343</v>
      </c>
      <c r="K570" s="11" t="s">
        <v>50</v>
      </c>
      <c r="L570" s="23"/>
      <c r="M570" s="11"/>
      <c r="N570" s="9" t="s">
        <v>929</v>
      </c>
      <c r="O570" s="11" t="s">
        <v>100</v>
      </c>
      <c r="P570" s="16" t="s">
        <v>158</v>
      </c>
      <c r="Q570" s="11" t="s">
        <v>960</v>
      </c>
    </row>
    <row r="571" spans="1:17" ht="82.5" x14ac:dyDescent="0.25">
      <c r="A571" s="13">
        <v>560</v>
      </c>
      <c r="B571" s="16" t="s">
        <v>2129</v>
      </c>
      <c r="C571" s="9"/>
      <c r="D571" s="9" t="str">
        <f t="shared" ca="1" si="11"/>
        <v>0 বছর 3 মাস 1 দিন</v>
      </c>
      <c r="E571" s="11" t="s">
        <v>2130</v>
      </c>
      <c r="F571" s="14">
        <v>31441</v>
      </c>
      <c r="G571" s="17">
        <v>46037</v>
      </c>
      <c r="H571" s="11" t="s">
        <v>2131</v>
      </c>
      <c r="I571" s="11"/>
      <c r="J571" s="11" t="s">
        <v>882</v>
      </c>
      <c r="K571" s="11" t="s">
        <v>50</v>
      </c>
      <c r="L571" s="23">
        <v>46062</v>
      </c>
      <c r="M571" s="11"/>
      <c r="N571" s="9" t="s">
        <v>929</v>
      </c>
      <c r="O571" s="11" t="s">
        <v>2132</v>
      </c>
      <c r="P571" s="9" t="s">
        <v>402</v>
      </c>
      <c r="Q571" s="11"/>
    </row>
    <row r="572" spans="1:17" ht="82.5" x14ac:dyDescent="0.25">
      <c r="A572" s="13">
        <v>561</v>
      </c>
      <c r="B572" s="16" t="s">
        <v>2133</v>
      </c>
      <c r="C572" s="9">
        <v>17</v>
      </c>
      <c r="D572" s="9" t="str">
        <f t="shared" ref="D572:D635" ca="1" si="12">C572+DATEDIF(G572,TODAY(),"y")&amp;" "&amp;"বছর"&amp;" "&amp;DATEDIF(G572,TODAY(),"ym")&amp;" "&amp;"মাস"&amp;" "&amp;DATEDIF(G572,TODAY(),"md")&amp;" "&amp;"দিন"</f>
        <v>17 বছর 3 মাস 1 দিন</v>
      </c>
      <c r="E572" s="11" t="s">
        <v>2134</v>
      </c>
      <c r="F572" s="14">
        <v>31442</v>
      </c>
      <c r="G572" s="17">
        <v>46037</v>
      </c>
      <c r="H572" s="11" t="s">
        <v>2135</v>
      </c>
      <c r="I572" s="11" t="s">
        <v>265</v>
      </c>
      <c r="J572" s="11" t="s">
        <v>1256</v>
      </c>
      <c r="K572" s="11" t="s">
        <v>50</v>
      </c>
      <c r="L572" s="23">
        <v>46049</v>
      </c>
      <c r="M572" s="11"/>
      <c r="N572" s="9" t="s">
        <v>929</v>
      </c>
      <c r="O572" s="11" t="s">
        <v>110</v>
      </c>
      <c r="P572" s="9" t="s">
        <v>402</v>
      </c>
      <c r="Q572" s="11"/>
    </row>
    <row r="573" spans="1:17" ht="66" x14ac:dyDescent="0.25">
      <c r="A573" s="13">
        <v>562</v>
      </c>
      <c r="B573" s="16" t="s">
        <v>2136</v>
      </c>
      <c r="C573" s="9">
        <v>18</v>
      </c>
      <c r="D573" s="9" t="str">
        <f t="shared" ca="1" si="12"/>
        <v>18 বছর 3 মাস 1 দিন</v>
      </c>
      <c r="E573" s="11" t="s">
        <v>2137</v>
      </c>
      <c r="F573" s="14">
        <v>31446</v>
      </c>
      <c r="G573" s="17">
        <v>46037</v>
      </c>
      <c r="H573" s="11" t="s">
        <v>2138</v>
      </c>
      <c r="I573" s="11" t="s">
        <v>48</v>
      </c>
      <c r="J573" s="11" t="s">
        <v>2139</v>
      </c>
      <c r="K573" s="11" t="s">
        <v>50</v>
      </c>
      <c r="L573" s="23">
        <v>46332</v>
      </c>
      <c r="M573" s="11"/>
      <c r="N573" s="9" t="s">
        <v>929</v>
      </c>
      <c r="O573" s="11" t="s">
        <v>100</v>
      </c>
      <c r="P573" s="9" t="s">
        <v>217</v>
      </c>
      <c r="Q573" s="11"/>
    </row>
    <row r="574" spans="1:17" ht="82.5" x14ac:dyDescent="0.25">
      <c r="A574" s="13">
        <v>563</v>
      </c>
      <c r="B574" s="16" t="s">
        <v>2140</v>
      </c>
      <c r="C574" s="9">
        <v>18</v>
      </c>
      <c r="D574" s="9" t="str">
        <f t="shared" ca="1" si="12"/>
        <v>18 বছর 3 মাস 0 দিন</v>
      </c>
      <c r="E574" s="11" t="s">
        <v>2141</v>
      </c>
      <c r="F574" s="14">
        <v>31447</v>
      </c>
      <c r="G574" s="17">
        <v>46038</v>
      </c>
      <c r="H574" s="11" t="s">
        <v>2142</v>
      </c>
      <c r="I574" s="11" t="s">
        <v>843</v>
      </c>
      <c r="J574" s="11" t="s">
        <v>1179</v>
      </c>
      <c r="K574" s="11" t="s">
        <v>50</v>
      </c>
      <c r="L574" s="23">
        <v>45963</v>
      </c>
      <c r="M574" s="11"/>
      <c r="N574" s="9" t="s">
        <v>929</v>
      </c>
      <c r="O574" s="11" t="s">
        <v>51</v>
      </c>
      <c r="P574" s="9" t="s">
        <v>88</v>
      </c>
      <c r="Q574" s="11"/>
    </row>
    <row r="575" spans="1:17" ht="66" x14ac:dyDescent="0.25">
      <c r="A575" s="13">
        <v>564</v>
      </c>
      <c r="B575" s="16" t="s">
        <v>2143</v>
      </c>
      <c r="C575" s="9">
        <v>14</v>
      </c>
      <c r="D575" s="9" t="str">
        <f t="shared" ca="1" si="12"/>
        <v>14 বছর 3 মাস 0 দিন</v>
      </c>
      <c r="E575" s="11" t="s">
        <v>2144</v>
      </c>
      <c r="F575" s="14">
        <v>31448</v>
      </c>
      <c r="G575" s="17">
        <v>46038</v>
      </c>
      <c r="H575" s="11" t="s">
        <v>2145</v>
      </c>
      <c r="I575" s="11" t="s">
        <v>27</v>
      </c>
      <c r="J575" s="11" t="s">
        <v>1205</v>
      </c>
      <c r="K575" s="11" t="s">
        <v>50</v>
      </c>
      <c r="L575" s="23"/>
      <c r="M575" s="11"/>
      <c r="N575" s="9" t="s">
        <v>929</v>
      </c>
      <c r="O575" s="11" t="s">
        <v>31</v>
      </c>
      <c r="P575" s="9" t="s">
        <v>94</v>
      </c>
      <c r="Q575" s="11"/>
    </row>
    <row r="576" spans="1:17" ht="82.5" x14ac:dyDescent="0.25">
      <c r="A576" s="13">
        <v>565</v>
      </c>
      <c r="B576" s="16" t="s">
        <v>2146</v>
      </c>
      <c r="C576" s="9">
        <v>16</v>
      </c>
      <c r="D576" s="9" t="str">
        <f t="shared" ca="1" si="12"/>
        <v>16 বছর 2 মাস 30 দিন</v>
      </c>
      <c r="E576" s="11" t="s">
        <v>2147</v>
      </c>
      <c r="F576" s="14">
        <v>31449</v>
      </c>
      <c r="G576" s="17">
        <v>46039</v>
      </c>
      <c r="H576" s="11" t="s">
        <v>2148</v>
      </c>
      <c r="I576" s="11" t="s">
        <v>2149</v>
      </c>
      <c r="J576" s="11" t="s">
        <v>2150</v>
      </c>
      <c r="K576" s="11" t="s">
        <v>50</v>
      </c>
      <c r="L576" s="23">
        <v>46086</v>
      </c>
      <c r="M576" s="11"/>
      <c r="N576" s="9" t="s">
        <v>30</v>
      </c>
      <c r="O576" s="11" t="s">
        <v>110</v>
      </c>
      <c r="P576" s="16" t="s">
        <v>158</v>
      </c>
      <c r="Q576" s="11" t="s">
        <v>2151</v>
      </c>
    </row>
    <row r="577" spans="1:17" ht="72.75" customHeight="1" x14ac:dyDescent="0.25">
      <c r="A577" s="13">
        <v>566</v>
      </c>
      <c r="B577" s="16" t="s">
        <v>2152</v>
      </c>
      <c r="C577" s="9">
        <v>17</v>
      </c>
      <c r="D577" s="9" t="str">
        <f t="shared" ca="1" si="12"/>
        <v>17 বছর 2 মাস 30 দিন</v>
      </c>
      <c r="E577" s="11" t="s">
        <v>2153</v>
      </c>
      <c r="F577" s="14">
        <v>31450</v>
      </c>
      <c r="G577" s="17">
        <v>46039</v>
      </c>
      <c r="H577" s="11" t="s">
        <v>2154</v>
      </c>
      <c r="I577" s="11" t="s">
        <v>2149</v>
      </c>
      <c r="J577" s="11" t="s">
        <v>2150</v>
      </c>
      <c r="K577" s="11" t="s">
        <v>50</v>
      </c>
      <c r="L577" s="23">
        <v>46086</v>
      </c>
      <c r="M577" s="11"/>
      <c r="N577" s="9" t="s">
        <v>30</v>
      </c>
      <c r="O577" s="11" t="s">
        <v>110</v>
      </c>
      <c r="P577" s="16" t="s">
        <v>158</v>
      </c>
      <c r="Q577" s="11" t="s">
        <v>2155</v>
      </c>
    </row>
    <row r="578" spans="1:17" ht="68.25" customHeight="1" x14ac:dyDescent="0.25">
      <c r="A578" s="13">
        <v>567</v>
      </c>
      <c r="B578" s="16" t="s">
        <v>2156</v>
      </c>
      <c r="C578" s="9"/>
      <c r="D578" s="9" t="str">
        <f t="shared" ca="1" si="12"/>
        <v>0 বছর 2 মাস 30 দিন</v>
      </c>
      <c r="E578" s="11" t="s">
        <v>2153</v>
      </c>
      <c r="F578" s="14">
        <v>31451</v>
      </c>
      <c r="G578" s="17">
        <v>46039</v>
      </c>
      <c r="H578" s="11" t="s">
        <v>2154</v>
      </c>
      <c r="I578" s="11" t="s">
        <v>2149</v>
      </c>
      <c r="J578" s="11" t="s">
        <v>2150</v>
      </c>
      <c r="K578" s="11" t="s">
        <v>50</v>
      </c>
      <c r="L578" s="23">
        <v>46086</v>
      </c>
      <c r="M578" s="11"/>
      <c r="N578" s="9" t="s">
        <v>30</v>
      </c>
      <c r="O578" s="11" t="s">
        <v>31</v>
      </c>
      <c r="P578" s="16" t="s">
        <v>158</v>
      </c>
      <c r="Q578" s="11" t="s">
        <v>2157</v>
      </c>
    </row>
    <row r="579" spans="1:17" ht="66" x14ac:dyDescent="0.25">
      <c r="A579" s="13">
        <v>568</v>
      </c>
      <c r="B579" s="16" t="s">
        <v>2158</v>
      </c>
      <c r="C579" s="9">
        <v>17</v>
      </c>
      <c r="D579" s="9" t="str">
        <f t="shared" ca="1" si="12"/>
        <v>17 বছর 2 মাস 30 দিন</v>
      </c>
      <c r="E579" s="11" t="s">
        <v>2159</v>
      </c>
      <c r="F579" s="14">
        <v>31452</v>
      </c>
      <c r="G579" s="17">
        <v>46039</v>
      </c>
      <c r="H579" s="11" t="s">
        <v>2154</v>
      </c>
      <c r="I579" s="11" t="s">
        <v>2149</v>
      </c>
      <c r="J579" s="11" t="s">
        <v>2150</v>
      </c>
      <c r="K579" s="11" t="s">
        <v>50</v>
      </c>
      <c r="L579" s="23">
        <v>46086</v>
      </c>
      <c r="M579" s="11"/>
      <c r="N579" s="9" t="s">
        <v>30</v>
      </c>
      <c r="O579" s="11" t="s">
        <v>100</v>
      </c>
      <c r="P579" s="16" t="s">
        <v>158</v>
      </c>
      <c r="Q579" s="11" t="s">
        <v>2160</v>
      </c>
    </row>
    <row r="580" spans="1:17" ht="66" x14ac:dyDescent="0.25">
      <c r="A580" s="13">
        <v>569</v>
      </c>
      <c r="B580" s="16" t="s">
        <v>2161</v>
      </c>
      <c r="C580" s="9">
        <v>17</v>
      </c>
      <c r="D580" s="9" t="str">
        <f t="shared" ca="1" si="12"/>
        <v>17 বছর 2 মাস 30 দিন</v>
      </c>
      <c r="E580" s="11" t="s">
        <v>2162</v>
      </c>
      <c r="F580" s="14">
        <v>31453</v>
      </c>
      <c r="G580" s="17">
        <v>46039</v>
      </c>
      <c r="H580" s="11" t="s">
        <v>2154</v>
      </c>
      <c r="I580" s="11" t="s">
        <v>2149</v>
      </c>
      <c r="J580" s="11" t="s">
        <v>2150</v>
      </c>
      <c r="K580" s="11" t="s">
        <v>50</v>
      </c>
      <c r="L580" s="23">
        <v>46086</v>
      </c>
      <c r="M580" s="11"/>
      <c r="N580" s="9" t="s">
        <v>929</v>
      </c>
      <c r="O580" s="11" t="s">
        <v>110</v>
      </c>
      <c r="P580" s="16" t="s">
        <v>158</v>
      </c>
      <c r="Q580" s="11" t="s">
        <v>2163</v>
      </c>
    </row>
    <row r="581" spans="1:17" ht="66" x14ac:dyDescent="0.25">
      <c r="A581" s="13">
        <v>570</v>
      </c>
      <c r="B581" s="16" t="s">
        <v>2164</v>
      </c>
      <c r="C581" s="9">
        <v>15</v>
      </c>
      <c r="D581" s="9" t="str">
        <f t="shared" ca="1" si="12"/>
        <v>15 বছর 2 মাস 30 দিন</v>
      </c>
      <c r="E581" s="11" t="s">
        <v>2165</v>
      </c>
      <c r="F581" s="14">
        <v>31454</v>
      </c>
      <c r="G581" s="17">
        <v>46039</v>
      </c>
      <c r="H581" s="11" t="s">
        <v>2154</v>
      </c>
      <c r="I581" s="11" t="s">
        <v>2149</v>
      </c>
      <c r="J581" s="11" t="s">
        <v>2150</v>
      </c>
      <c r="K581" s="11" t="s">
        <v>50</v>
      </c>
      <c r="L581" s="23">
        <v>46086</v>
      </c>
      <c r="M581" s="11"/>
      <c r="N581" s="9" t="s">
        <v>929</v>
      </c>
      <c r="O581" s="11" t="s">
        <v>51</v>
      </c>
      <c r="P581" s="16" t="s">
        <v>158</v>
      </c>
      <c r="Q581" s="11" t="s">
        <v>2151</v>
      </c>
    </row>
    <row r="582" spans="1:17" ht="66" x14ac:dyDescent="0.25">
      <c r="A582" s="13">
        <v>571</v>
      </c>
      <c r="B582" s="16" t="s">
        <v>2166</v>
      </c>
      <c r="C582" s="9">
        <v>16</v>
      </c>
      <c r="D582" s="9" t="str">
        <f t="shared" ca="1" si="12"/>
        <v>16 বছর 2 মাস 30 দিন</v>
      </c>
      <c r="E582" s="11" t="s">
        <v>2167</v>
      </c>
      <c r="F582" s="14">
        <v>31455</v>
      </c>
      <c r="G582" s="17">
        <v>46039</v>
      </c>
      <c r="H582" s="11" t="s">
        <v>2154</v>
      </c>
      <c r="I582" s="11" t="s">
        <v>2149</v>
      </c>
      <c r="J582" s="11" t="s">
        <v>2150</v>
      </c>
      <c r="K582" s="11" t="s">
        <v>50</v>
      </c>
      <c r="L582" s="23">
        <v>46086</v>
      </c>
      <c r="M582" s="11"/>
      <c r="N582" s="9" t="s">
        <v>929</v>
      </c>
      <c r="O582" s="11" t="s">
        <v>51</v>
      </c>
      <c r="P582" s="16" t="s">
        <v>158</v>
      </c>
      <c r="Q582" s="11" t="s">
        <v>2151</v>
      </c>
    </row>
    <row r="583" spans="1:17" ht="66" x14ac:dyDescent="0.25">
      <c r="A583" s="13">
        <v>572</v>
      </c>
      <c r="B583" s="16" t="s">
        <v>2168</v>
      </c>
      <c r="C583" s="9"/>
      <c r="D583" s="9" t="str">
        <f t="shared" ca="1" si="12"/>
        <v>0 বছর 2 মাস 30 দিন</v>
      </c>
      <c r="E583" s="11" t="s">
        <v>2169</v>
      </c>
      <c r="F583" s="14">
        <v>31456</v>
      </c>
      <c r="G583" s="17">
        <v>46039</v>
      </c>
      <c r="H583" s="11" t="s">
        <v>2170</v>
      </c>
      <c r="I583" s="11" t="s">
        <v>27</v>
      </c>
      <c r="J583" s="11" t="s">
        <v>1939</v>
      </c>
      <c r="K583" s="11" t="s">
        <v>50</v>
      </c>
      <c r="L583" s="23"/>
      <c r="M583" s="11"/>
      <c r="N583" s="9" t="s">
        <v>929</v>
      </c>
      <c r="O583" s="11" t="s">
        <v>31</v>
      </c>
      <c r="P583" s="9" t="s">
        <v>94</v>
      </c>
      <c r="Q583" s="11"/>
    </row>
    <row r="584" spans="1:17" ht="66" x14ac:dyDescent="0.25">
      <c r="A584" s="13">
        <v>573</v>
      </c>
      <c r="B584" s="16" t="s">
        <v>2171</v>
      </c>
      <c r="C584" s="9">
        <v>15</v>
      </c>
      <c r="D584" s="9" t="str">
        <f t="shared" ca="1" si="12"/>
        <v>15 বছর 2 মাস 30 দিন</v>
      </c>
      <c r="E584" s="11" t="s">
        <v>2172</v>
      </c>
      <c r="F584" s="14">
        <v>31457</v>
      </c>
      <c r="G584" s="17">
        <v>46039</v>
      </c>
      <c r="H584" s="11" t="s">
        <v>2173</v>
      </c>
      <c r="I584" s="11" t="s">
        <v>38</v>
      </c>
      <c r="J584" s="11" t="s">
        <v>2174</v>
      </c>
      <c r="K584" s="11" t="s">
        <v>50</v>
      </c>
      <c r="L584" s="23">
        <v>46076</v>
      </c>
      <c r="M584" s="11"/>
      <c r="N584" s="9" t="s">
        <v>929</v>
      </c>
      <c r="O584" s="11" t="s">
        <v>31</v>
      </c>
      <c r="P584" s="16" t="s">
        <v>158</v>
      </c>
      <c r="Q584" s="11" t="s">
        <v>464</v>
      </c>
    </row>
    <row r="585" spans="1:17" ht="66" x14ac:dyDescent="0.25">
      <c r="A585" s="13">
        <v>574</v>
      </c>
      <c r="B585" s="16" t="s">
        <v>2175</v>
      </c>
      <c r="C585" s="9">
        <v>15</v>
      </c>
      <c r="D585" s="9" t="str">
        <f t="shared" ca="1" si="12"/>
        <v>15 বছর 2 মাস 29 দিন</v>
      </c>
      <c r="E585" s="11" t="s">
        <v>2176</v>
      </c>
      <c r="F585" s="14">
        <v>31458</v>
      </c>
      <c r="G585" s="17">
        <v>46040</v>
      </c>
      <c r="H585" s="11" t="s">
        <v>2177</v>
      </c>
      <c r="I585" s="11"/>
      <c r="J585" s="11" t="s">
        <v>1402</v>
      </c>
      <c r="K585" s="11" t="s">
        <v>50</v>
      </c>
      <c r="L585" s="23">
        <v>46047</v>
      </c>
      <c r="M585" s="11"/>
      <c r="N585" s="9" t="s">
        <v>929</v>
      </c>
      <c r="O585" s="11" t="s">
        <v>31</v>
      </c>
      <c r="P585" s="9" t="s">
        <v>217</v>
      </c>
      <c r="Q585" s="11"/>
    </row>
    <row r="586" spans="1:17" ht="66" x14ac:dyDescent="0.25">
      <c r="A586" s="13">
        <v>575</v>
      </c>
      <c r="B586" s="16" t="s">
        <v>2178</v>
      </c>
      <c r="C586" s="9">
        <v>14</v>
      </c>
      <c r="D586" s="9" t="str">
        <f t="shared" ca="1" si="12"/>
        <v>14 বছর 2 মাস 29 দিন</v>
      </c>
      <c r="E586" s="11" t="s">
        <v>2179</v>
      </c>
      <c r="F586" s="14">
        <v>31459</v>
      </c>
      <c r="G586" s="17">
        <v>46040</v>
      </c>
      <c r="H586" s="11" t="s">
        <v>2180</v>
      </c>
      <c r="I586" s="11" t="s">
        <v>265</v>
      </c>
      <c r="J586" s="11" t="s">
        <v>1957</v>
      </c>
      <c r="K586" s="11" t="s">
        <v>50</v>
      </c>
      <c r="L586" s="23">
        <v>46111</v>
      </c>
      <c r="M586" s="11"/>
      <c r="N586" s="9" t="s">
        <v>929</v>
      </c>
      <c r="O586" s="11" t="s">
        <v>31</v>
      </c>
      <c r="P586" s="9" t="s">
        <v>441</v>
      </c>
      <c r="Q586" s="11"/>
    </row>
    <row r="587" spans="1:17" ht="66" x14ac:dyDescent="0.25">
      <c r="A587" s="13">
        <v>576</v>
      </c>
      <c r="B587" s="16" t="s">
        <v>2181</v>
      </c>
      <c r="C587" s="9">
        <v>17</v>
      </c>
      <c r="D587" s="9" t="str">
        <f t="shared" ca="1" si="12"/>
        <v>17 বছর 2 মাস 29 দিন</v>
      </c>
      <c r="E587" s="11" t="s">
        <v>2182</v>
      </c>
      <c r="F587" s="14">
        <v>31460</v>
      </c>
      <c r="G587" s="17">
        <v>46040</v>
      </c>
      <c r="H587" s="11" t="s">
        <v>2183</v>
      </c>
      <c r="I587" s="11" t="s">
        <v>843</v>
      </c>
      <c r="J587" s="11" t="s">
        <v>1179</v>
      </c>
      <c r="K587" s="11" t="s">
        <v>50</v>
      </c>
      <c r="L587" s="23">
        <v>46083</v>
      </c>
      <c r="M587" s="11"/>
      <c r="N587" s="9" t="s">
        <v>929</v>
      </c>
      <c r="O587" s="11" t="s">
        <v>51</v>
      </c>
      <c r="P587" s="16" t="s">
        <v>158</v>
      </c>
      <c r="Q587" s="11" t="s">
        <v>464</v>
      </c>
    </row>
    <row r="588" spans="1:17" ht="66" x14ac:dyDescent="0.25">
      <c r="A588" s="13">
        <v>577</v>
      </c>
      <c r="B588" s="16" t="s">
        <v>2184</v>
      </c>
      <c r="C588" s="9">
        <v>15</v>
      </c>
      <c r="D588" s="9" t="str">
        <f t="shared" ca="1" si="12"/>
        <v>15 বছর 2 মাস 29 দিন</v>
      </c>
      <c r="E588" s="11" t="s">
        <v>2185</v>
      </c>
      <c r="F588" s="14">
        <v>31461</v>
      </c>
      <c r="G588" s="17">
        <v>46040</v>
      </c>
      <c r="H588" s="11" t="s">
        <v>2186</v>
      </c>
      <c r="I588" s="11" t="s">
        <v>27</v>
      </c>
      <c r="J588" s="11" t="s">
        <v>2187</v>
      </c>
      <c r="K588" s="11" t="s">
        <v>50</v>
      </c>
      <c r="L588" s="23">
        <v>46113</v>
      </c>
      <c r="M588" s="11"/>
      <c r="N588" s="9" t="s">
        <v>929</v>
      </c>
      <c r="O588" s="11" t="s">
        <v>31</v>
      </c>
      <c r="P588" s="9" t="s">
        <v>88</v>
      </c>
      <c r="Q588" s="11"/>
    </row>
    <row r="589" spans="1:17" ht="66" x14ac:dyDescent="0.25">
      <c r="A589" s="13">
        <v>578</v>
      </c>
      <c r="B589" s="16" t="s">
        <v>2188</v>
      </c>
      <c r="C589" s="9">
        <v>17</v>
      </c>
      <c r="D589" s="9" t="str">
        <f t="shared" ca="1" si="12"/>
        <v>17 বছর 2 মাস 27 দিন</v>
      </c>
      <c r="E589" s="11" t="s">
        <v>2189</v>
      </c>
      <c r="F589" s="14">
        <v>31464</v>
      </c>
      <c r="G589" s="17">
        <v>46042</v>
      </c>
      <c r="H589" s="11" t="s">
        <v>2190</v>
      </c>
      <c r="I589" s="11" t="s">
        <v>2149</v>
      </c>
      <c r="J589" s="11" t="s">
        <v>2150</v>
      </c>
      <c r="K589" s="11" t="s">
        <v>50</v>
      </c>
      <c r="L589" s="23">
        <v>46086</v>
      </c>
      <c r="M589" s="11"/>
      <c r="N589" s="9" t="s">
        <v>929</v>
      </c>
      <c r="O589" s="11" t="s">
        <v>51</v>
      </c>
      <c r="P589" s="16" t="s">
        <v>158</v>
      </c>
      <c r="Q589" s="11" t="s">
        <v>2151</v>
      </c>
    </row>
    <row r="590" spans="1:17" ht="66" x14ac:dyDescent="0.25">
      <c r="A590" s="13">
        <v>579</v>
      </c>
      <c r="B590" s="16" t="s">
        <v>2191</v>
      </c>
      <c r="C590" s="9">
        <v>16</v>
      </c>
      <c r="D590" s="9" t="str">
        <f t="shared" ca="1" si="12"/>
        <v>16 বছর 2 মাস 27 দিন</v>
      </c>
      <c r="E590" s="11" t="s">
        <v>2192</v>
      </c>
      <c r="F590" s="14">
        <v>31465</v>
      </c>
      <c r="G590" s="17">
        <v>46042</v>
      </c>
      <c r="H590" s="11" t="s">
        <v>2190</v>
      </c>
      <c r="I590" s="11" t="s">
        <v>2149</v>
      </c>
      <c r="J590" s="11" t="s">
        <v>2150</v>
      </c>
      <c r="K590" s="11" t="s">
        <v>50</v>
      </c>
      <c r="L590" s="23">
        <v>46086</v>
      </c>
      <c r="M590" s="11"/>
      <c r="N590" s="9" t="s">
        <v>929</v>
      </c>
      <c r="O590" s="11" t="s">
        <v>110</v>
      </c>
      <c r="P590" s="16" t="s">
        <v>158</v>
      </c>
      <c r="Q590" s="11" t="s">
        <v>2151</v>
      </c>
    </row>
    <row r="591" spans="1:17" ht="66" x14ac:dyDescent="0.25">
      <c r="A591" s="13">
        <v>580</v>
      </c>
      <c r="B591" s="16" t="s">
        <v>2193</v>
      </c>
      <c r="C591" s="9">
        <v>16</v>
      </c>
      <c r="D591" s="9" t="str">
        <f t="shared" ca="1" si="12"/>
        <v>16 বছর 2 মাস 27 দিন</v>
      </c>
      <c r="E591" s="11" t="s">
        <v>2194</v>
      </c>
      <c r="F591" s="14">
        <v>31466</v>
      </c>
      <c r="G591" s="17">
        <v>46042</v>
      </c>
      <c r="H591" s="11" t="s">
        <v>2190</v>
      </c>
      <c r="I591" s="11" t="s">
        <v>2149</v>
      </c>
      <c r="J591" s="11" t="s">
        <v>2150</v>
      </c>
      <c r="K591" s="11" t="s">
        <v>50</v>
      </c>
      <c r="L591" s="23">
        <v>46086</v>
      </c>
      <c r="M591" s="11"/>
      <c r="N591" s="9" t="s">
        <v>929</v>
      </c>
      <c r="O591" s="11" t="s">
        <v>100</v>
      </c>
      <c r="P591" s="16" t="s">
        <v>158</v>
      </c>
      <c r="Q591" s="11" t="s">
        <v>2151</v>
      </c>
    </row>
    <row r="592" spans="1:17" ht="66" x14ac:dyDescent="0.25">
      <c r="A592" s="13">
        <v>581</v>
      </c>
      <c r="B592" s="16" t="s">
        <v>2195</v>
      </c>
      <c r="C592" s="9">
        <v>15</v>
      </c>
      <c r="D592" s="9" t="str">
        <f t="shared" ca="1" si="12"/>
        <v>15 বছর 2 মাস 27 দিন</v>
      </c>
      <c r="E592" s="11" t="s">
        <v>2196</v>
      </c>
      <c r="F592" s="14">
        <v>31467</v>
      </c>
      <c r="G592" s="17">
        <v>46042</v>
      </c>
      <c r="H592" s="11" t="s">
        <v>2190</v>
      </c>
      <c r="I592" s="11" t="s">
        <v>2149</v>
      </c>
      <c r="J592" s="11" t="s">
        <v>2150</v>
      </c>
      <c r="K592" s="11" t="s">
        <v>50</v>
      </c>
      <c r="L592" s="23">
        <v>46086</v>
      </c>
      <c r="M592" s="11"/>
      <c r="N592" s="9" t="s">
        <v>929</v>
      </c>
      <c r="O592" s="11" t="s">
        <v>51</v>
      </c>
      <c r="P592" s="16" t="s">
        <v>158</v>
      </c>
      <c r="Q592" s="11" t="s">
        <v>2151</v>
      </c>
    </row>
    <row r="593" spans="1:17" ht="66" x14ac:dyDescent="0.25">
      <c r="A593" s="13">
        <v>582</v>
      </c>
      <c r="B593" s="16" t="s">
        <v>2197</v>
      </c>
      <c r="C593" s="9">
        <v>15</v>
      </c>
      <c r="D593" s="9" t="str">
        <f t="shared" ca="1" si="12"/>
        <v>15 বছর 2 মাস 27 দিন</v>
      </c>
      <c r="E593" s="11" t="s">
        <v>2198</v>
      </c>
      <c r="F593" s="14">
        <v>31468</v>
      </c>
      <c r="G593" s="17">
        <v>46042</v>
      </c>
      <c r="H593" s="11" t="s">
        <v>2190</v>
      </c>
      <c r="I593" s="11" t="s">
        <v>2149</v>
      </c>
      <c r="J593" s="11" t="s">
        <v>2150</v>
      </c>
      <c r="K593" s="11" t="s">
        <v>50</v>
      </c>
      <c r="L593" s="23">
        <v>46086</v>
      </c>
      <c r="M593" s="11"/>
      <c r="N593" s="9" t="s">
        <v>929</v>
      </c>
      <c r="O593" s="11" t="s">
        <v>51</v>
      </c>
      <c r="P593" s="16" t="s">
        <v>158</v>
      </c>
      <c r="Q593" s="11" t="s">
        <v>2151</v>
      </c>
    </row>
    <row r="594" spans="1:17" ht="66" x14ac:dyDescent="0.25">
      <c r="A594" s="13">
        <v>583</v>
      </c>
      <c r="B594" s="16" t="s">
        <v>2199</v>
      </c>
      <c r="C594" s="9">
        <v>16</v>
      </c>
      <c r="D594" s="9" t="str">
        <f t="shared" ca="1" si="12"/>
        <v>16 বছর 2 মাস 27 দিন</v>
      </c>
      <c r="E594" s="11" t="s">
        <v>2200</v>
      </c>
      <c r="F594" s="14">
        <v>31469</v>
      </c>
      <c r="G594" s="17">
        <v>46042</v>
      </c>
      <c r="H594" s="11" t="s">
        <v>2190</v>
      </c>
      <c r="I594" s="11" t="s">
        <v>2149</v>
      </c>
      <c r="J594" s="11" t="s">
        <v>2150</v>
      </c>
      <c r="K594" s="11" t="s">
        <v>50</v>
      </c>
      <c r="L594" s="23">
        <v>46086</v>
      </c>
      <c r="M594" s="11"/>
      <c r="N594" s="9" t="s">
        <v>929</v>
      </c>
      <c r="O594" s="11" t="s">
        <v>110</v>
      </c>
      <c r="P594" s="16" t="s">
        <v>158</v>
      </c>
      <c r="Q594" s="11" t="s">
        <v>2151</v>
      </c>
    </row>
    <row r="595" spans="1:17" ht="66" x14ac:dyDescent="0.25">
      <c r="A595" s="13">
        <v>584</v>
      </c>
      <c r="B595" s="16" t="s">
        <v>2201</v>
      </c>
      <c r="C595" s="9">
        <v>12</v>
      </c>
      <c r="D595" s="9" t="str">
        <f t="shared" ca="1" si="12"/>
        <v>12 বছর 2 মাস 27 দিন</v>
      </c>
      <c r="E595" s="11" t="s">
        <v>2202</v>
      </c>
      <c r="F595" s="14">
        <v>31470</v>
      </c>
      <c r="G595" s="17">
        <v>46042</v>
      </c>
      <c r="H595" s="11" t="s">
        <v>2203</v>
      </c>
      <c r="I595" s="11" t="s">
        <v>265</v>
      </c>
      <c r="J595" s="11" t="s">
        <v>2005</v>
      </c>
      <c r="K595" s="11" t="s">
        <v>50</v>
      </c>
      <c r="L595" s="23">
        <v>46063</v>
      </c>
      <c r="M595" s="11"/>
      <c r="N595" s="9" t="s">
        <v>929</v>
      </c>
      <c r="O595" s="11" t="s">
        <v>31</v>
      </c>
      <c r="P595" s="9" t="s">
        <v>217</v>
      </c>
      <c r="Q595" s="11"/>
    </row>
    <row r="596" spans="1:17" ht="66" x14ac:dyDescent="0.25">
      <c r="A596" s="13">
        <v>585</v>
      </c>
      <c r="B596" s="16" t="s">
        <v>2204</v>
      </c>
      <c r="C596" s="9">
        <v>16</v>
      </c>
      <c r="D596" s="9" t="str">
        <f t="shared" ca="1" si="12"/>
        <v>16 বছর 2 মাস 26 দিন</v>
      </c>
      <c r="E596" s="11" t="s">
        <v>2205</v>
      </c>
      <c r="F596" s="14">
        <v>31473</v>
      </c>
      <c r="G596" s="17">
        <v>46043</v>
      </c>
      <c r="H596" s="11" t="s">
        <v>2206</v>
      </c>
      <c r="I596" s="11" t="s">
        <v>38</v>
      </c>
      <c r="J596" s="11" t="s">
        <v>901</v>
      </c>
      <c r="K596" s="11" t="s">
        <v>50</v>
      </c>
      <c r="L596" s="23">
        <v>46043</v>
      </c>
      <c r="M596" s="11"/>
      <c r="N596" s="9" t="s">
        <v>929</v>
      </c>
      <c r="O596" s="11" t="s">
        <v>31</v>
      </c>
      <c r="P596" s="16" t="s">
        <v>158</v>
      </c>
      <c r="Q596" s="11" t="s">
        <v>283</v>
      </c>
    </row>
    <row r="597" spans="1:17" ht="66" x14ac:dyDescent="0.25">
      <c r="A597" s="13">
        <v>586</v>
      </c>
      <c r="B597" s="16" t="s">
        <v>2207</v>
      </c>
      <c r="C597" s="9"/>
      <c r="D597" s="9" t="str">
        <f t="shared" ca="1" si="12"/>
        <v>0 বছর 2 মাস 26 দিন</v>
      </c>
      <c r="E597" s="11" t="s">
        <v>2208</v>
      </c>
      <c r="F597" s="14">
        <v>31474</v>
      </c>
      <c r="G597" s="17">
        <v>46043</v>
      </c>
      <c r="H597" s="11" t="s">
        <v>2209</v>
      </c>
      <c r="I597" s="11" t="s">
        <v>48</v>
      </c>
      <c r="J597" s="11" t="s">
        <v>1200</v>
      </c>
      <c r="K597" s="11" t="s">
        <v>50</v>
      </c>
      <c r="L597" s="23"/>
      <c r="M597" s="11"/>
      <c r="N597" s="9" t="s">
        <v>929</v>
      </c>
      <c r="O597" s="11" t="s">
        <v>100</v>
      </c>
      <c r="P597" s="9" t="s">
        <v>441</v>
      </c>
      <c r="Q597" s="11"/>
    </row>
    <row r="598" spans="1:17" ht="82.5" x14ac:dyDescent="0.25">
      <c r="A598" s="13">
        <v>587</v>
      </c>
      <c r="B598" s="16" t="s">
        <v>2210</v>
      </c>
      <c r="C598" s="9"/>
      <c r="D598" s="9" t="str">
        <f t="shared" ca="1" si="12"/>
        <v>0 বছর 2 মাস 26 দিন</v>
      </c>
      <c r="E598" s="11" t="s">
        <v>2211</v>
      </c>
      <c r="F598" s="14">
        <v>31475</v>
      </c>
      <c r="G598" s="17">
        <v>46043</v>
      </c>
      <c r="H598" s="11" t="s">
        <v>2209</v>
      </c>
      <c r="I598" s="11" t="s">
        <v>48</v>
      </c>
      <c r="J598" s="11" t="s">
        <v>1200</v>
      </c>
      <c r="K598" s="11" t="s">
        <v>50</v>
      </c>
      <c r="L598" s="23"/>
      <c r="M598" s="11"/>
      <c r="N598" s="9" t="s">
        <v>929</v>
      </c>
      <c r="O598" s="11" t="s">
        <v>31</v>
      </c>
      <c r="P598" s="9" t="s">
        <v>192</v>
      </c>
      <c r="Q598" s="11"/>
    </row>
    <row r="599" spans="1:17" ht="69.75" customHeight="1" x14ac:dyDescent="0.25">
      <c r="A599" s="13">
        <v>588</v>
      </c>
      <c r="B599" s="16" t="s">
        <v>2212</v>
      </c>
      <c r="C599" s="9">
        <v>15</v>
      </c>
      <c r="D599" s="9" t="str">
        <f t="shared" ca="1" si="12"/>
        <v>15 বছর 2 মাস 26 দিন</v>
      </c>
      <c r="E599" s="11" t="s">
        <v>2213</v>
      </c>
      <c r="F599" s="14">
        <v>31476</v>
      </c>
      <c r="G599" s="17">
        <v>46043</v>
      </c>
      <c r="H599" s="11" t="s">
        <v>2214</v>
      </c>
      <c r="I599" s="11"/>
      <c r="J599" s="11" t="s">
        <v>882</v>
      </c>
      <c r="K599" s="11" t="s">
        <v>50</v>
      </c>
      <c r="L599" s="23"/>
      <c r="M599" s="11"/>
      <c r="N599" s="9" t="s">
        <v>929</v>
      </c>
      <c r="O599" s="11" t="s">
        <v>31</v>
      </c>
      <c r="P599" s="16" t="s">
        <v>158</v>
      </c>
      <c r="Q599" s="11" t="s">
        <v>960</v>
      </c>
    </row>
    <row r="600" spans="1:17" ht="66" x14ac:dyDescent="0.25">
      <c r="A600" s="13">
        <v>589</v>
      </c>
      <c r="B600" s="16" t="s">
        <v>2215</v>
      </c>
      <c r="C600" s="9">
        <v>17</v>
      </c>
      <c r="D600" s="9" t="str">
        <f t="shared" ca="1" si="12"/>
        <v>17 বছর 2 মাস 26 দিন</v>
      </c>
      <c r="E600" s="11" t="s">
        <v>2216</v>
      </c>
      <c r="F600" s="14">
        <v>31477</v>
      </c>
      <c r="G600" s="17">
        <v>46043</v>
      </c>
      <c r="H600" s="11" t="s">
        <v>2217</v>
      </c>
      <c r="I600" s="11"/>
      <c r="J600" s="11" t="s">
        <v>2218</v>
      </c>
      <c r="K600" s="11" t="s">
        <v>50</v>
      </c>
      <c r="L600" s="23"/>
      <c r="M600" s="11"/>
      <c r="N600" s="9" t="s">
        <v>929</v>
      </c>
      <c r="O600" s="11" t="s">
        <v>110</v>
      </c>
      <c r="P600" s="9" t="s">
        <v>94</v>
      </c>
      <c r="Q600" s="11"/>
    </row>
    <row r="601" spans="1:17" ht="66" x14ac:dyDescent="0.25">
      <c r="A601" s="13">
        <v>590</v>
      </c>
      <c r="B601" s="16" t="s">
        <v>2219</v>
      </c>
      <c r="C601" s="9">
        <v>17</v>
      </c>
      <c r="D601" s="9" t="str">
        <f t="shared" ca="1" si="12"/>
        <v>17 বছর 2 মাস 26 দিন</v>
      </c>
      <c r="E601" s="11" t="s">
        <v>2220</v>
      </c>
      <c r="F601" s="14">
        <v>31478</v>
      </c>
      <c r="G601" s="17">
        <v>46043</v>
      </c>
      <c r="H601" s="11" t="s">
        <v>2221</v>
      </c>
      <c r="I601" s="11" t="s">
        <v>265</v>
      </c>
      <c r="J601" s="11" t="s">
        <v>905</v>
      </c>
      <c r="K601" s="11" t="s">
        <v>50</v>
      </c>
      <c r="L601" s="23"/>
      <c r="M601" s="11"/>
      <c r="N601" s="9" t="s">
        <v>929</v>
      </c>
      <c r="O601" s="11" t="s">
        <v>110</v>
      </c>
      <c r="P601" s="16" t="s">
        <v>158</v>
      </c>
      <c r="Q601" s="11" t="s">
        <v>873</v>
      </c>
    </row>
    <row r="602" spans="1:17" ht="66" x14ac:dyDescent="0.25">
      <c r="A602" s="13">
        <v>591</v>
      </c>
      <c r="B602" s="16" t="s">
        <v>2222</v>
      </c>
      <c r="C602" s="9">
        <v>15</v>
      </c>
      <c r="D602" s="9" t="str">
        <f t="shared" ca="1" si="12"/>
        <v>15 বছর 2 মাস 26 দিন</v>
      </c>
      <c r="E602" s="11" t="s">
        <v>2223</v>
      </c>
      <c r="F602" s="14">
        <v>31483</v>
      </c>
      <c r="G602" s="17">
        <v>46043</v>
      </c>
      <c r="H602" s="11" t="s">
        <v>2224</v>
      </c>
      <c r="I602" s="11" t="s">
        <v>38</v>
      </c>
      <c r="J602" s="11" t="s">
        <v>2225</v>
      </c>
      <c r="K602" s="11" t="s">
        <v>50</v>
      </c>
      <c r="L602" s="23">
        <v>46084</v>
      </c>
      <c r="M602" s="11"/>
      <c r="N602" s="9" t="s">
        <v>929</v>
      </c>
      <c r="O602" s="11" t="s">
        <v>31</v>
      </c>
      <c r="P602" s="16" t="s">
        <v>158</v>
      </c>
      <c r="Q602" s="11" t="s">
        <v>464</v>
      </c>
    </row>
    <row r="603" spans="1:17" ht="66" x14ac:dyDescent="0.25">
      <c r="A603" s="13">
        <v>592</v>
      </c>
      <c r="B603" s="16" t="s">
        <v>2226</v>
      </c>
      <c r="C603" s="9">
        <v>17</v>
      </c>
      <c r="D603" s="9" t="str">
        <f t="shared" ca="1" si="12"/>
        <v>17 বছর 2 মাস 26 দিন</v>
      </c>
      <c r="E603" s="11" t="s">
        <v>2227</v>
      </c>
      <c r="F603" s="14">
        <v>31484</v>
      </c>
      <c r="G603" s="17">
        <v>46043</v>
      </c>
      <c r="H603" s="11" t="s">
        <v>2224</v>
      </c>
      <c r="I603" s="11" t="s">
        <v>38</v>
      </c>
      <c r="J603" s="11" t="s">
        <v>2225</v>
      </c>
      <c r="K603" s="11" t="s">
        <v>50</v>
      </c>
      <c r="L603" s="23">
        <v>46084</v>
      </c>
      <c r="M603" s="11"/>
      <c r="N603" s="9" t="s">
        <v>929</v>
      </c>
      <c r="O603" s="11" t="s">
        <v>110</v>
      </c>
      <c r="P603" s="16" t="s">
        <v>158</v>
      </c>
      <c r="Q603" s="11" t="s">
        <v>1746</v>
      </c>
    </row>
    <row r="604" spans="1:17" ht="82.5" x14ac:dyDescent="0.25">
      <c r="A604" s="13">
        <v>593</v>
      </c>
      <c r="B604" s="16" t="s">
        <v>2228</v>
      </c>
      <c r="C604" s="9">
        <v>16</v>
      </c>
      <c r="D604" s="9" t="str">
        <f t="shared" ca="1" si="12"/>
        <v>16 বছর 2 মাস 26 দিন</v>
      </c>
      <c r="E604" s="11" t="s">
        <v>2229</v>
      </c>
      <c r="F604" s="14">
        <v>31485</v>
      </c>
      <c r="G604" s="17">
        <v>46043</v>
      </c>
      <c r="H604" s="11" t="s">
        <v>2230</v>
      </c>
      <c r="I604" s="11" t="s">
        <v>265</v>
      </c>
      <c r="J604" s="11" t="s">
        <v>1205</v>
      </c>
      <c r="K604" s="11" t="s">
        <v>50</v>
      </c>
      <c r="L604" s="23"/>
      <c r="M604" s="11"/>
      <c r="N604" s="9" t="s">
        <v>929</v>
      </c>
      <c r="O604" s="11" t="s">
        <v>100</v>
      </c>
      <c r="P604" s="9" t="s">
        <v>402</v>
      </c>
      <c r="Q604" s="11"/>
    </row>
    <row r="605" spans="1:17" ht="82.5" x14ac:dyDescent="0.25">
      <c r="A605" s="13">
        <v>594</v>
      </c>
      <c r="B605" s="16" t="s">
        <v>2231</v>
      </c>
      <c r="C605" s="9">
        <v>15</v>
      </c>
      <c r="D605" s="9" t="str">
        <f t="shared" ca="1" si="12"/>
        <v>15 বছর 2 মাস 26 দিন</v>
      </c>
      <c r="E605" s="11" t="s">
        <v>2229</v>
      </c>
      <c r="F605" s="14">
        <v>31486</v>
      </c>
      <c r="G605" s="17">
        <v>46043</v>
      </c>
      <c r="H605" s="11" t="s">
        <v>2230</v>
      </c>
      <c r="I605" s="11" t="s">
        <v>265</v>
      </c>
      <c r="J605" s="11" t="s">
        <v>1205</v>
      </c>
      <c r="K605" s="11" t="s">
        <v>50</v>
      </c>
      <c r="L605" s="23"/>
      <c r="M605" s="11"/>
      <c r="N605" s="9" t="s">
        <v>929</v>
      </c>
      <c r="O605" s="11" t="s">
        <v>34</v>
      </c>
      <c r="P605" s="9" t="s">
        <v>402</v>
      </c>
      <c r="Q605" s="11"/>
    </row>
    <row r="606" spans="1:17" ht="66" x14ac:dyDescent="0.25">
      <c r="A606" s="13">
        <v>595</v>
      </c>
      <c r="B606" s="16" t="s">
        <v>2232</v>
      </c>
      <c r="C606" s="9">
        <v>14</v>
      </c>
      <c r="D606" s="9" t="str">
        <f t="shared" ca="1" si="12"/>
        <v>14 বছর 2 মাস 26 দিন</v>
      </c>
      <c r="E606" s="11" t="s">
        <v>2233</v>
      </c>
      <c r="F606" s="14">
        <v>31487</v>
      </c>
      <c r="G606" s="17">
        <v>46043</v>
      </c>
      <c r="H606" s="11" t="s">
        <v>2234</v>
      </c>
      <c r="I606" s="11" t="s">
        <v>38</v>
      </c>
      <c r="J606" s="11" t="s">
        <v>901</v>
      </c>
      <c r="K606" s="11" t="s">
        <v>50</v>
      </c>
      <c r="L606" s="23">
        <v>46049</v>
      </c>
      <c r="M606" s="11"/>
      <c r="N606" s="9" t="s">
        <v>929</v>
      </c>
      <c r="O606" s="11" t="s">
        <v>31</v>
      </c>
      <c r="P606" s="16" t="s">
        <v>158</v>
      </c>
      <c r="Q606" s="11" t="s">
        <v>1025</v>
      </c>
    </row>
    <row r="607" spans="1:17" ht="66" x14ac:dyDescent="0.25">
      <c r="A607" s="13">
        <v>596</v>
      </c>
      <c r="B607" s="16" t="s">
        <v>2235</v>
      </c>
      <c r="C607" s="9">
        <v>17</v>
      </c>
      <c r="D607" s="9" t="str">
        <f t="shared" ca="1" si="12"/>
        <v>17 বছর 2 মাস 25 দিন</v>
      </c>
      <c r="E607" s="11" t="s">
        <v>2236</v>
      </c>
      <c r="F607" s="14">
        <v>31489</v>
      </c>
      <c r="G607" s="17">
        <v>46044</v>
      </c>
      <c r="H607" s="11" t="s">
        <v>2237</v>
      </c>
      <c r="I607" s="11" t="s">
        <v>196</v>
      </c>
      <c r="J607" s="11" t="s">
        <v>2238</v>
      </c>
      <c r="K607" s="11" t="s">
        <v>50</v>
      </c>
      <c r="L607" s="23">
        <v>46072</v>
      </c>
      <c r="M607" s="11"/>
      <c r="N607" s="9" t="s">
        <v>929</v>
      </c>
      <c r="O607" s="11" t="s">
        <v>34</v>
      </c>
      <c r="P607" s="16" t="s">
        <v>158</v>
      </c>
      <c r="Q607" s="11" t="s">
        <v>1135</v>
      </c>
    </row>
    <row r="608" spans="1:17" ht="66" x14ac:dyDescent="0.25">
      <c r="A608" s="13">
        <v>597</v>
      </c>
      <c r="B608" s="16" t="s">
        <v>2239</v>
      </c>
      <c r="C608" s="9">
        <v>16</v>
      </c>
      <c r="D608" s="9" t="str">
        <f t="shared" ca="1" si="12"/>
        <v>16 বছর 2 মাস 25 দিন</v>
      </c>
      <c r="E608" s="11" t="s">
        <v>2240</v>
      </c>
      <c r="F608" s="14">
        <v>31490</v>
      </c>
      <c r="G608" s="17">
        <v>46044</v>
      </c>
      <c r="H608" s="11" t="s">
        <v>2241</v>
      </c>
      <c r="I608" s="11" t="s">
        <v>588</v>
      </c>
      <c r="J608" s="11" t="s">
        <v>2242</v>
      </c>
      <c r="K608" s="11" t="s">
        <v>50</v>
      </c>
      <c r="L608" s="23">
        <v>46068</v>
      </c>
      <c r="M608" s="11"/>
      <c r="N608" s="9" t="s">
        <v>929</v>
      </c>
      <c r="O608" s="11" t="s">
        <v>34</v>
      </c>
      <c r="P608" s="16" t="s">
        <v>158</v>
      </c>
      <c r="Q608" s="11" t="s">
        <v>960</v>
      </c>
    </row>
    <row r="609" spans="1:17" ht="82.5" x14ac:dyDescent="0.25">
      <c r="A609" s="13">
        <v>598</v>
      </c>
      <c r="B609" s="16" t="s">
        <v>2243</v>
      </c>
      <c r="C609" s="9">
        <v>17</v>
      </c>
      <c r="D609" s="9" t="str">
        <f t="shared" ca="1" si="12"/>
        <v>17 বছর 2 মাস 25 দিন</v>
      </c>
      <c r="E609" s="11" t="s">
        <v>2244</v>
      </c>
      <c r="F609" s="14">
        <v>31491</v>
      </c>
      <c r="G609" s="17">
        <v>46044</v>
      </c>
      <c r="H609" s="11" t="s">
        <v>2245</v>
      </c>
      <c r="I609" s="11" t="s">
        <v>48</v>
      </c>
      <c r="J609" s="11" t="s">
        <v>2242</v>
      </c>
      <c r="K609" s="11" t="s">
        <v>50</v>
      </c>
      <c r="L609" s="23">
        <v>46061</v>
      </c>
      <c r="M609" s="11"/>
      <c r="N609" s="9" t="s">
        <v>929</v>
      </c>
      <c r="O609" s="11" t="s">
        <v>31</v>
      </c>
      <c r="P609" s="9" t="s">
        <v>217</v>
      </c>
      <c r="Q609" s="11"/>
    </row>
    <row r="610" spans="1:17" ht="66" x14ac:dyDescent="0.25">
      <c r="A610" s="13">
        <v>599</v>
      </c>
      <c r="B610" s="16" t="s">
        <v>2246</v>
      </c>
      <c r="C610" s="9"/>
      <c r="D610" s="9" t="str">
        <f t="shared" ca="1" si="12"/>
        <v>0 বছর 2 মাস 25 দিন</v>
      </c>
      <c r="E610" s="11" t="s">
        <v>2247</v>
      </c>
      <c r="F610" s="14">
        <v>31492</v>
      </c>
      <c r="G610" s="17">
        <v>46044</v>
      </c>
      <c r="H610" s="11" t="s">
        <v>2248</v>
      </c>
      <c r="I610" s="11" t="s">
        <v>27</v>
      </c>
      <c r="J610" s="11" t="s">
        <v>2242</v>
      </c>
      <c r="K610" s="11" t="s">
        <v>50</v>
      </c>
      <c r="L610" s="23">
        <v>46071</v>
      </c>
      <c r="M610" s="11"/>
      <c r="N610" s="9" t="s">
        <v>929</v>
      </c>
      <c r="O610" s="11" t="s">
        <v>31</v>
      </c>
      <c r="P610" s="16" t="s">
        <v>158</v>
      </c>
      <c r="Q610" s="11" t="s">
        <v>960</v>
      </c>
    </row>
    <row r="611" spans="1:17" ht="66" x14ac:dyDescent="0.25">
      <c r="A611" s="13">
        <v>600</v>
      </c>
      <c r="B611" s="16" t="s">
        <v>2249</v>
      </c>
      <c r="C611" s="9">
        <v>19</v>
      </c>
      <c r="D611" s="9" t="str">
        <f t="shared" ca="1" si="12"/>
        <v>19 বছর 2 মাস 25 দিন</v>
      </c>
      <c r="E611" s="11" t="s">
        <v>2250</v>
      </c>
      <c r="F611" s="14">
        <v>31494</v>
      </c>
      <c r="G611" s="17">
        <v>46044</v>
      </c>
      <c r="H611" s="11" t="s">
        <v>2251</v>
      </c>
      <c r="I611" s="11" t="s">
        <v>2252</v>
      </c>
      <c r="J611" s="11" t="s">
        <v>2253</v>
      </c>
      <c r="K611" s="11" t="s">
        <v>50</v>
      </c>
      <c r="L611" s="23">
        <v>46063</v>
      </c>
      <c r="M611" s="11"/>
      <c r="N611" s="9" t="s">
        <v>929</v>
      </c>
      <c r="O611" s="11" t="s">
        <v>110</v>
      </c>
      <c r="P611" s="16" t="s">
        <v>158</v>
      </c>
      <c r="Q611" s="11" t="s">
        <v>283</v>
      </c>
    </row>
    <row r="612" spans="1:17" ht="82.5" x14ac:dyDescent="0.25">
      <c r="A612" s="13">
        <v>601</v>
      </c>
      <c r="B612" s="16" t="s">
        <v>2254</v>
      </c>
      <c r="C612" s="9">
        <v>16</v>
      </c>
      <c r="D612" s="9" t="str">
        <f t="shared" ca="1" si="12"/>
        <v>16 বছর 2 মাস 25 দিন</v>
      </c>
      <c r="E612" s="11" t="s">
        <v>2255</v>
      </c>
      <c r="F612" s="14">
        <v>31495</v>
      </c>
      <c r="G612" s="17">
        <v>46044</v>
      </c>
      <c r="H612" s="11" t="s">
        <v>2256</v>
      </c>
      <c r="I612" s="11" t="s">
        <v>48</v>
      </c>
      <c r="J612" s="11" t="s">
        <v>2253</v>
      </c>
      <c r="K612" s="11" t="s">
        <v>50</v>
      </c>
      <c r="L612" s="23">
        <v>46056</v>
      </c>
      <c r="M612" s="11"/>
      <c r="N612" s="9" t="s">
        <v>929</v>
      </c>
      <c r="O612" s="11" t="s">
        <v>31</v>
      </c>
      <c r="P612" s="9" t="s">
        <v>402</v>
      </c>
      <c r="Q612" s="11"/>
    </row>
    <row r="613" spans="1:17" ht="66" x14ac:dyDescent="0.25">
      <c r="A613" s="13">
        <v>602</v>
      </c>
      <c r="B613" s="16" t="s">
        <v>2257</v>
      </c>
      <c r="C613" s="9">
        <v>19</v>
      </c>
      <c r="D613" s="9" t="str">
        <f t="shared" ca="1" si="12"/>
        <v>19 বছর 2 মাস 25 দিন</v>
      </c>
      <c r="E613" s="11" t="s">
        <v>2258</v>
      </c>
      <c r="F613" s="14">
        <v>31496</v>
      </c>
      <c r="G613" s="17">
        <v>46044</v>
      </c>
      <c r="H613" s="11" t="s">
        <v>2259</v>
      </c>
      <c r="I613" s="11" t="s">
        <v>843</v>
      </c>
      <c r="J613" s="11" t="s">
        <v>1209</v>
      </c>
      <c r="K613" s="11" t="s">
        <v>50</v>
      </c>
      <c r="L613" s="23">
        <v>46058</v>
      </c>
      <c r="M613" s="11"/>
      <c r="N613" s="9" t="s">
        <v>2260</v>
      </c>
      <c r="O613" s="11" t="s">
        <v>100</v>
      </c>
      <c r="P613" s="9" t="s">
        <v>441</v>
      </c>
      <c r="Q613" s="11"/>
    </row>
    <row r="614" spans="1:17" ht="66" x14ac:dyDescent="0.25">
      <c r="A614" s="13">
        <v>603</v>
      </c>
      <c r="B614" s="16" t="s">
        <v>2261</v>
      </c>
      <c r="C614" s="9">
        <v>17</v>
      </c>
      <c r="D614" s="9" t="str">
        <f t="shared" ca="1" si="12"/>
        <v>17 বছর 2 মাস 25 দিন</v>
      </c>
      <c r="E614" s="11" t="s">
        <v>2262</v>
      </c>
      <c r="F614" s="14">
        <v>31498</v>
      </c>
      <c r="G614" s="17">
        <v>46044</v>
      </c>
      <c r="H614" s="11" t="s">
        <v>2263</v>
      </c>
      <c r="I614" s="11" t="s">
        <v>265</v>
      </c>
      <c r="J614" s="11" t="s">
        <v>1205</v>
      </c>
      <c r="K614" s="11" t="s">
        <v>50</v>
      </c>
      <c r="L614" s="23">
        <v>46075</v>
      </c>
      <c r="M614" s="11"/>
      <c r="N614" s="9" t="s">
        <v>2260</v>
      </c>
      <c r="O614" s="11" t="s">
        <v>51</v>
      </c>
      <c r="P614" s="16" t="s">
        <v>158</v>
      </c>
      <c r="Q614" s="11" t="s">
        <v>283</v>
      </c>
    </row>
    <row r="615" spans="1:17" ht="66" x14ac:dyDescent="0.25">
      <c r="A615" s="13">
        <v>604</v>
      </c>
      <c r="B615" s="16" t="s">
        <v>2264</v>
      </c>
      <c r="C615" s="9"/>
      <c r="D615" s="9" t="str">
        <f t="shared" ca="1" si="12"/>
        <v>0 বছর 2 মাস 25 দিন</v>
      </c>
      <c r="E615" s="11" t="s">
        <v>2265</v>
      </c>
      <c r="F615" s="14">
        <v>31499</v>
      </c>
      <c r="G615" s="17">
        <v>46044</v>
      </c>
      <c r="H615" s="11" t="s">
        <v>2266</v>
      </c>
      <c r="I615" s="11" t="s">
        <v>265</v>
      </c>
      <c r="J615" s="11" t="s">
        <v>2267</v>
      </c>
      <c r="K615" s="11" t="s">
        <v>50</v>
      </c>
      <c r="L615" s="23"/>
      <c r="M615" s="11"/>
      <c r="N615" s="9" t="s">
        <v>2260</v>
      </c>
      <c r="O615" s="11" t="s">
        <v>31</v>
      </c>
      <c r="P615" s="9" t="s">
        <v>88</v>
      </c>
      <c r="Q615" s="11"/>
    </row>
    <row r="616" spans="1:17" ht="66" x14ac:dyDescent="0.25">
      <c r="A616" s="13">
        <v>605</v>
      </c>
      <c r="B616" s="16" t="s">
        <v>2268</v>
      </c>
      <c r="C616" s="9">
        <v>15</v>
      </c>
      <c r="D616" s="9" t="str">
        <f t="shared" ca="1" si="12"/>
        <v>15 বছর 2 মাস 25 দিন</v>
      </c>
      <c r="E616" s="11" t="s">
        <v>2269</v>
      </c>
      <c r="F616" s="14">
        <v>31500</v>
      </c>
      <c r="G616" s="17">
        <v>46044</v>
      </c>
      <c r="H616" s="11" t="s">
        <v>2270</v>
      </c>
      <c r="I616" s="11" t="s">
        <v>27</v>
      </c>
      <c r="J616" s="11" t="s">
        <v>1209</v>
      </c>
      <c r="K616" s="11" t="s">
        <v>50</v>
      </c>
      <c r="L616" s="23"/>
      <c r="M616" s="11"/>
      <c r="N616" s="9" t="s">
        <v>2260</v>
      </c>
      <c r="O616" s="11" t="s">
        <v>31</v>
      </c>
      <c r="P616" s="9" t="s">
        <v>192</v>
      </c>
      <c r="Q616" s="11"/>
    </row>
    <row r="617" spans="1:17" ht="82.5" x14ac:dyDescent="0.25">
      <c r="A617" s="13">
        <v>606</v>
      </c>
      <c r="B617" s="16" t="s">
        <v>2271</v>
      </c>
      <c r="C617" s="9">
        <v>16</v>
      </c>
      <c r="D617" s="9" t="str">
        <f t="shared" ca="1" si="12"/>
        <v>16 বছর 2 মাস 25 দিন</v>
      </c>
      <c r="E617" s="11" t="s">
        <v>2272</v>
      </c>
      <c r="F617" s="14">
        <v>31501</v>
      </c>
      <c r="G617" s="17">
        <v>46044</v>
      </c>
      <c r="H617" s="11" t="s">
        <v>2273</v>
      </c>
      <c r="I617" s="11"/>
      <c r="J617" s="11" t="s">
        <v>2274</v>
      </c>
      <c r="K617" s="11" t="s">
        <v>50</v>
      </c>
      <c r="L617" s="23">
        <v>46043</v>
      </c>
      <c r="M617" s="11"/>
      <c r="N617" s="9" t="s">
        <v>929</v>
      </c>
      <c r="O617" s="11" t="s">
        <v>110</v>
      </c>
      <c r="P617" s="9" t="s">
        <v>402</v>
      </c>
      <c r="Q617" s="11"/>
    </row>
    <row r="618" spans="1:17" ht="82.5" x14ac:dyDescent="0.25">
      <c r="A618" s="13">
        <v>607</v>
      </c>
      <c r="B618" s="16" t="s">
        <v>2275</v>
      </c>
      <c r="C618" s="9"/>
      <c r="D618" s="9" t="str">
        <f t="shared" ca="1" si="12"/>
        <v>0 বছর 2 মাস 24 দিন</v>
      </c>
      <c r="E618" s="11" t="s">
        <v>2276</v>
      </c>
      <c r="F618" s="14">
        <v>31503</v>
      </c>
      <c r="G618" s="17">
        <v>46045</v>
      </c>
      <c r="H618" s="11" t="s">
        <v>2277</v>
      </c>
      <c r="I618" s="11" t="s">
        <v>48</v>
      </c>
      <c r="J618" s="11" t="s">
        <v>2278</v>
      </c>
      <c r="K618" s="11" t="s">
        <v>50</v>
      </c>
      <c r="L618" s="23"/>
      <c r="M618" s="11"/>
      <c r="N618" s="9" t="s">
        <v>929</v>
      </c>
      <c r="O618" s="11" t="s">
        <v>31</v>
      </c>
      <c r="P618" s="9" t="s">
        <v>402</v>
      </c>
      <c r="Q618" s="11"/>
    </row>
    <row r="619" spans="1:17" ht="66" x14ac:dyDescent="0.25">
      <c r="A619" s="13">
        <v>608</v>
      </c>
      <c r="B619" s="16" t="s">
        <v>2279</v>
      </c>
      <c r="C619" s="9"/>
      <c r="D619" s="9" t="str">
        <f t="shared" ca="1" si="12"/>
        <v>0 বছর 2 মাস 24 দিন</v>
      </c>
      <c r="E619" s="11" t="s">
        <v>2280</v>
      </c>
      <c r="F619" s="14">
        <v>31506</v>
      </c>
      <c r="G619" s="17">
        <v>46045</v>
      </c>
      <c r="H619" s="11" t="s">
        <v>2281</v>
      </c>
      <c r="I619" s="11" t="s">
        <v>265</v>
      </c>
      <c r="J619" s="11" t="s">
        <v>2278</v>
      </c>
      <c r="K619" s="11" t="s">
        <v>50</v>
      </c>
      <c r="L619" s="23">
        <v>46069</v>
      </c>
      <c r="M619" s="11"/>
      <c r="N619" s="9" t="s">
        <v>929</v>
      </c>
      <c r="O619" s="11" t="s">
        <v>31</v>
      </c>
      <c r="P619" s="16" t="s">
        <v>158</v>
      </c>
      <c r="Q619" s="11" t="s">
        <v>288</v>
      </c>
    </row>
    <row r="620" spans="1:17" ht="66" x14ac:dyDescent="0.25">
      <c r="A620" s="13">
        <v>609</v>
      </c>
      <c r="B620" s="16" t="s">
        <v>2282</v>
      </c>
      <c r="C620" s="9"/>
      <c r="D620" s="9" t="str">
        <f t="shared" ca="1" si="12"/>
        <v>0 বছর 2 মাস 24 দিন</v>
      </c>
      <c r="E620" s="11" t="s">
        <v>2283</v>
      </c>
      <c r="F620" s="14">
        <v>31508</v>
      </c>
      <c r="G620" s="17">
        <v>46045</v>
      </c>
      <c r="H620" s="11" t="s">
        <v>2284</v>
      </c>
      <c r="I620" s="11" t="s">
        <v>27</v>
      </c>
      <c r="J620" s="11" t="s">
        <v>872</v>
      </c>
      <c r="K620" s="11" t="s">
        <v>50</v>
      </c>
      <c r="L620" s="23"/>
      <c r="M620" s="11"/>
      <c r="N620" s="9" t="s">
        <v>929</v>
      </c>
      <c r="O620" s="11" t="s">
        <v>31</v>
      </c>
      <c r="P620" s="9" t="s">
        <v>217</v>
      </c>
      <c r="Q620" s="11"/>
    </row>
    <row r="621" spans="1:17" ht="82.5" x14ac:dyDescent="0.25">
      <c r="A621" s="13">
        <v>610</v>
      </c>
      <c r="B621" s="16" t="s">
        <v>2285</v>
      </c>
      <c r="C621" s="9"/>
      <c r="D621" s="9" t="str">
        <f t="shared" ca="1" si="12"/>
        <v>0 বছর 2 মাস 24 দিন</v>
      </c>
      <c r="E621" s="11" t="s">
        <v>2286</v>
      </c>
      <c r="F621" s="14">
        <v>31509</v>
      </c>
      <c r="G621" s="17">
        <v>46045</v>
      </c>
      <c r="H621" s="11" t="s">
        <v>2287</v>
      </c>
      <c r="I621" s="11" t="s">
        <v>27</v>
      </c>
      <c r="J621" s="11" t="s">
        <v>872</v>
      </c>
      <c r="K621" s="11" t="s">
        <v>50</v>
      </c>
      <c r="L621" s="23"/>
      <c r="M621" s="11"/>
      <c r="N621" s="9" t="s">
        <v>929</v>
      </c>
      <c r="O621" s="11" t="s">
        <v>31</v>
      </c>
      <c r="P621" s="9" t="s">
        <v>402</v>
      </c>
      <c r="Q621" s="11"/>
    </row>
    <row r="622" spans="1:17" ht="82.5" x14ac:dyDescent="0.25">
      <c r="A622" s="13">
        <v>611</v>
      </c>
      <c r="B622" s="16" t="s">
        <v>2288</v>
      </c>
      <c r="C622" s="9">
        <v>16</v>
      </c>
      <c r="D622" s="9" t="str">
        <f t="shared" ca="1" si="12"/>
        <v>16 বছর 2 মাস 24 দিন</v>
      </c>
      <c r="E622" s="11" t="s">
        <v>2289</v>
      </c>
      <c r="F622" s="14">
        <v>31511</v>
      </c>
      <c r="G622" s="17">
        <v>46045</v>
      </c>
      <c r="H622" s="11" t="s">
        <v>2290</v>
      </c>
      <c r="I622" s="11" t="s">
        <v>38</v>
      </c>
      <c r="J622" s="11" t="s">
        <v>2291</v>
      </c>
      <c r="K622" s="11" t="s">
        <v>50</v>
      </c>
      <c r="L622" s="23"/>
      <c r="M622" s="11"/>
      <c r="N622" s="9" t="s">
        <v>929</v>
      </c>
      <c r="O622" s="11" t="s">
        <v>31</v>
      </c>
      <c r="P622" s="9" t="s">
        <v>402</v>
      </c>
      <c r="Q622" s="11"/>
    </row>
    <row r="623" spans="1:17" ht="66" x14ac:dyDescent="0.25">
      <c r="A623" s="13">
        <v>612</v>
      </c>
      <c r="B623" s="16" t="s">
        <v>2292</v>
      </c>
      <c r="C623" s="9">
        <v>17</v>
      </c>
      <c r="D623" s="9" t="str">
        <f t="shared" ca="1" si="12"/>
        <v>17 বছর 2 মাস 24 দিন</v>
      </c>
      <c r="E623" s="11" t="s">
        <v>2293</v>
      </c>
      <c r="F623" s="14">
        <v>31512</v>
      </c>
      <c r="G623" s="17">
        <v>46045</v>
      </c>
      <c r="H623" s="11" t="s">
        <v>2294</v>
      </c>
      <c r="I623" s="11" t="s">
        <v>48</v>
      </c>
      <c r="J623" s="11" t="s">
        <v>1704</v>
      </c>
      <c r="K623" s="11" t="s">
        <v>50</v>
      </c>
      <c r="L623" s="23">
        <v>46071</v>
      </c>
      <c r="M623" s="11"/>
      <c r="N623" s="9" t="s">
        <v>929</v>
      </c>
      <c r="O623" s="11" t="s">
        <v>110</v>
      </c>
      <c r="P623" s="9" t="s">
        <v>94</v>
      </c>
      <c r="Q623" s="11"/>
    </row>
    <row r="624" spans="1:17" ht="66" x14ac:dyDescent="0.25">
      <c r="A624" s="13">
        <v>613</v>
      </c>
      <c r="B624" s="16" t="s">
        <v>2295</v>
      </c>
      <c r="C624" s="9">
        <v>15</v>
      </c>
      <c r="D624" s="9" t="str">
        <f t="shared" ca="1" si="12"/>
        <v>15 বছর 2 মাস 24 দিন</v>
      </c>
      <c r="E624" s="11" t="s">
        <v>2296</v>
      </c>
      <c r="F624" s="14">
        <v>31513</v>
      </c>
      <c r="G624" s="17">
        <v>46045</v>
      </c>
      <c r="H624" s="11" t="s">
        <v>2297</v>
      </c>
      <c r="I624" s="11" t="s">
        <v>48</v>
      </c>
      <c r="J624" s="11" t="s">
        <v>1179</v>
      </c>
      <c r="K624" s="11" t="s">
        <v>50</v>
      </c>
      <c r="L624" s="23"/>
      <c r="M624" s="11"/>
      <c r="N624" s="9" t="s">
        <v>929</v>
      </c>
      <c r="O624" s="11" t="s">
        <v>51</v>
      </c>
      <c r="P624" s="9" t="s">
        <v>88</v>
      </c>
      <c r="Q624" s="11"/>
    </row>
    <row r="625" spans="1:17" ht="82.5" x14ac:dyDescent="0.25">
      <c r="A625" s="13">
        <v>614</v>
      </c>
      <c r="B625" s="16" t="s">
        <v>2298</v>
      </c>
      <c r="C625" s="9">
        <v>17</v>
      </c>
      <c r="D625" s="9" t="str">
        <f t="shared" ca="1" si="12"/>
        <v>17 বছর 2 মাস 23 দিন</v>
      </c>
      <c r="E625" s="11" t="s">
        <v>2299</v>
      </c>
      <c r="F625" s="14">
        <v>31514</v>
      </c>
      <c r="G625" s="17">
        <v>46046</v>
      </c>
      <c r="H625" s="11" t="s">
        <v>2300</v>
      </c>
      <c r="I625" s="11" t="s">
        <v>27</v>
      </c>
      <c r="J625" s="11" t="s">
        <v>1179</v>
      </c>
      <c r="K625" s="11" t="s">
        <v>50</v>
      </c>
      <c r="L625" s="23">
        <v>46045</v>
      </c>
      <c r="M625" s="11"/>
      <c r="N625" s="9" t="s">
        <v>929</v>
      </c>
      <c r="O625" s="11" t="s">
        <v>100</v>
      </c>
      <c r="P625" s="9" t="s">
        <v>402</v>
      </c>
      <c r="Q625" s="11"/>
    </row>
    <row r="626" spans="1:17" ht="82.5" x14ac:dyDescent="0.25">
      <c r="A626" s="13">
        <v>615</v>
      </c>
      <c r="B626" s="16" t="s">
        <v>2301</v>
      </c>
      <c r="C626" s="9">
        <v>15</v>
      </c>
      <c r="D626" s="9" t="str">
        <f t="shared" ca="1" si="12"/>
        <v>15 বছর 2 মাস 23 দিন</v>
      </c>
      <c r="E626" s="11" t="s">
        <v>2302</v>
      </c>
      <c r="F626" s="14">
        <v>31515</v>
      </c>
      <c r="G626" s="17">
        <v>46046</v>
      </c>
      <c r="H626" s="11" t="s">
        <v>2303</v>
      </c>
      <c r="I626" s="11" t="s">
        <v>265</v>
      </c>
      <c r="J626" s="11" t="s">
        <v>2304</v>
      </c>
      <c r="K626" s="11" t="s">
        <v>50</v>
      </c>
      <c r="L626" s="23">
        <v>46062</v>
      </c>
      <c r="M626" s="11"/>
      <c r="N626" s="9" t="s">
        <v>929</v>
      </c>
      <c r="O626" s="11" t="s">
        <v>31</v>
      </c>
      <c r="P626" s="9" t="s">
        <v>402</v>
      </c>
      <c r="Q626" s="11"/>
    </row>
    <row r="627" spans="1:17" ht="66" x14ac:dyDescent="0.25">
      <c r="A627" s="13">
        <v>616</v>
      </c>
      <c r="B627" s="16" t="s">
        <v>2305</v>
      </c>
      <c r="C627" s="9">
        <v>17</v>
      </c>
      <c r="D627" s="9" t="str">
        <f t="shared" ca="1" si="12"/>
        <v>17 বছর 2 মাস 22 দিন</v>
      </c>
      <c r="E627" s="11" t="s">
        <v>2306</v>
      </c>
      <c r="F627" s="14">
        <v>31516</v>
      </c>
      <c r="G627" s="17">
        <v>46047</v>
      </c>
      <c r="H627" s="11" t="s">
        <v>2307</v>
      </c>
      <c r="I627" s="11" t="s">
        <v>196</v>
      </c>
      <c r="J627" s="11" t="s">
        <v>2304</v>
      </c>
      <c r="K627" s="11" t="s">
        <v>50</v>
      </c>
      <c r="L627" s="23">
        <v>46072</v>
      </c>
      <c r="M627" s="11"/>
      <c r="N627" s="9" t="s">
        <v>929</v>
      </c>
      <c r="O627" s="11" t="s">
        <v>110</v>
      </c>
      <c r="P627" s="16" t="s">
        <v>158</v>
      </c>
      <c r="Q627" s="11" t="s">
        <v>819</v>
      </c>
    </row>
    <row r="628" spans="1:17" ht="66" x14ac:dyDescent="0.25">
      <c r="A628" s="13">
        <v>617</v>
      </c>
      <c r="B628" s="16" t="s">
        <v>2308</v>
      </c>
      <c r="C628" s="9"/>
      <c r="D628" s="9" t="str">
        <f t="shared" ca="1" si="12"/>
        <v>0 বছর 2 মাস 22 দিন</v>
      </c>
      <c r="E628" s="11" t="s">
        <v>2309</v>
      </c>
      <c r="F628" s="14">
        <v>31517</v>
      </c>
      <c r="G628" s="17">
        <v>46047</v>
      </c>
      <c r="H628" s="11" t="s">
        <v>2310</v>
      </c>
      <c r="I628" s="11" t="s">
        <v>196</v>
      </c>
      <c r="J628" s="11" t="s">
        <v>2311</v>
      </c>
      <c r="K628" s="11" t="s">
        <v>50</v>
      </c>
      <c r="L628" s="23">
        <v>46092</v>
      </c>
      <c r="M628" s="11"/>
      <c r="N628" s="9" t="s">
        <v>929</v>
      </c>
      <c r="O628" s="11" t="s">
        <v>31</v>
      </c>
      <c r="P628" s="16" t="s">
        <v>158</v>
      </c>
      <c r="Q628" s="11" t="s">
        <v>782</v>
      </c>
    </row>
    <row r="629" spans="1:17" ht="82.5" x14ac:dyDescent="0.25">
      <c r="A629" s="13">
        <v>618</v>
      </c>
      <c r="B629" s="16" t="s">
        <v>2312</v>
      </c>
      <c r="C629" s="9"/>
      <c r="D629" s="9" t="str">
        <f t="shared" ca="1" si="12"/>
        <v>0 বছর 2 মাস 22 দিন</v>
      </c>
      <c r="E629" s="11" t="s">
        <v>2313</v>
      </c>
      <c r="F629" s="14">
        <v>31518</v>
      </c>
      <c r="G629" s="17">
        <v>46047</v>
      </c>
      <c r="H629" s="11" t="s">
        <v>2314</v>
      </c>
      <c r="I629" s="11" t="s">
        <v>48</v>
      </c>
      <c r="J629" s="11" t="s">
        <v>2311</v>
      </c>
      <c r="K629" s="11" t="s">
        <v>50</v>
      </c>
      <c r="L629" s="23">
        <v>46061</v>
      </c>
      <c r="M629" s="11"/>
      <c r="N629" s="9" t="s">
        <v>929</v>
      </c>
      <c r="O629" s="11" t="s">
        <v>31</v>
      </c>
      <c r="P629" s="16" t="s">
        <v>158</v>
      </c>
      <c r="Q629" s="11" t="s">
        <v>1035</v>
      </c>
    </row>
    <row r="630" spans="1:17" ht="66" x14ac:dyDescent="0.25">
      <c r="A630" s="13">
        <v>619</v>
      </c>
      <c r="B630" s="16" t="s">
        <v>2315</v>
      </c>
      <c r="C630" s="9"/>
      <c r="D630" s="9" t="str">
        <f t="shared" ca="1" si="12"/>
        <v>0 বছর 2 মাস 22 দিন</v>
      </c>
      <c r="E630" s="11" t="s">
        <v>2316</v>
      </c>
      <c r="F630" s="14">
        <v>31519</v>
      </c>
      <c r="G630" s="17">
        <v>46047</v>
      </c>
      <c r="H630" s="11" t="s">
        <v>2317</v>
      </c>
      <c r="I630" s="11" t="s">
        <v>265</v>
      </c>
      <c r="J630" s="11" t="s">
        <v>2311</v>
      </c>
      <c r="K630" s="11" t="s">
        <v>50</v>
      </c>
      <c r="L630" s="23">
        <v>46077</v>
      </c>
      <c r="M630" s="11"/>
      <c r="N630" s="9" t="s">
        <v>2260</v>
      </c>
      <c r="O630" s="11" t="s">
        <v>31</v>
      </c>
      <c r="P630" s="16" t="s">
        <v>158</v>
      </c>
      <c r="Q630" s="11" t="s">
        <v>960</v>
      </c>
    </row>
    <row r="631" spans="1:17" ht="82.5" x14ac:dyDescent="0.25">
      <c r="A631" s="13">
        <v>620</v>
      </c>
      <c r="B631" s="16" t="s">
        <v>2318</v>
      </c>
      <c r="C631" s="9">
        <v>16</v>
      </c>
      <c r="D631" s="9" t="str">
        <f t="shared" ca="1" si="12"/>
        <v>16 বছর 2 মাস 22 দিন</v>
      </c>
      <c r="E631" s="11" t="s">
        <v>2319</v>
      </c>
      <c r="F631" s="14">
        <v>31520</v>
      </c>
      <c r="G631" s="17">
        <v>46047</v>
      </c>
      <c r="H631" s="11" t="s">
        <v>2320</v>
      </c>
      <c r="I631" s="11" t="s">
        <v>1997</v>
      </c>
      <c r="J631" s="11" t="s">
        <v>1623</v>
      </c>
      <c r="K631" s="11" t="s">
        <v>50</v>
      </c>
      <c r="L631" s="23">
        <v>46065</v>
      </c>
      <c r="M631" s="11"/>
      <c r="N631" s="9" t="s">
        <v>2260</v>
      </c>
      <c r="O631" s="11" t="s">
        <v>110</v>
      </c>
      <c r="P631" s="9" t="s">
        <v>402</v>
      </c>
      <c r="Q631" s="11"/>
    </row>
    <row r="632" spans="1:17" ht="66" x14ac:dyDescent="0.25">
      <c r="A632" s="13">
        <v>621</v>
      </c>
      <c r="B632" s="16" t="s">
        <v>2321</v>
      </c>
      <c r="C632" s="9">
        <v>17</v>
      </c>
      <c r="D632" s="9" t="str">
        <f t="shared" ca="1" si="12"/>
        <v>17 বছর 2 মাস 22 দিন</v>
      </c>
      <c r="E632" s="11" t="s">
        <v>2322</v>
      </c>
      <c r="F632" s="14">
        <v>31523</v>
      </c>
      <c r="G632" s="17">
        <v>46047</v>
      </c>
      <c r="H632" s="11" t="s">
        <v>2323</v>
      </c>
      <c r="I632" s="11"/>
      <c r="J632" s="11" t="s">
        <v>2324</v>
      </c>
      <c r="K632" s="11" t="s">
        <v>50</v>
      </c>
      <c r="L632" s="23">
        <v>46079</v>
      </c>
      <c r="M632" s="11"/>
      <c r="N632" s="9" t="s">
        <v>2260</v>
      </c>
      <c r="O632" s="11" t="s">
        <v>100</v>
      </c>
      <c r="P632" s="9" t="s">
        <v>94</v>
      </c>
      <c r="Q632" s="11"/>
    </row>
    <row r="633" spans="1:17" ht="66" x14ac:dyDescent="0.25">
      <c r="A633" s="13">
        <v>622</v>
      </c>
      <c r="B633" s="16" t="s">
        <v>2325</v>
      </c>
      <c r="C633" s="9">
        <v>14</v>
      </c>
      <c r="D633" s="9" t="str">
        <f t="shared" ca="1" si="12"/>
        <v>14 বছর 2 মাস 21 দিন</v>
      </c>
      <c r="E633" s="11" t="s">
        <v>2326</v>
      </c>
      <c r="F633" s="14">
        <v>31525</v>
      </c>
      <c r="G633" s="17">
        <v>46048</v>
      </c>
      <c r="H633" s="11" t="s">
        <v>2327</v>
      </c>
      <c r="I633" s="11" t="s">
        <v>48</v>
      </c>
      <c r="J633" s="11" t="s">
        <v>2324</v>
      </c>
      <c r="K633" s="11" t="s">
        <v>50</v>
      </c>
      <c r="L633" s="23">
        <v>46058</v>
      </c>
      <c r="M633" s="11"/>
      <c r="N633" s="9" t="s">
        <v>2260</v>
      </c>
      <c r="O633" s="11" t="s">
        <v>31</v>
      </c>
      <c r="P633" s="9" t="s">
        <v>441</v>
      </c>
      <c r="Q633" s="11"/>
    </row>
    <row r="634" spans="1:17" ht="66" x14ac:dyDescent="0.25">
      <c r="A634" s="13">
        <v>623</v>
      </c>
      <c r="B634" s="16" t="s">
        <v>2328</v>
      </c>
      <c r="C634" s="9">
        <v>16</v>
      </c>
      <c r="D634" s="9" t="str">
        <f t="shared" ca="1" si="12"/>
        <v>16 বছর 2 মাস 21 দিন</v>
      </c>
      <c r="E634" s="11" t="s">
        <v>2329</v>
      </c>
      <c r="F634" s="14">
        <v>31526</v>
      </c>
      <c r="G634" s="17">
        <v>46048</v>
      </c>
      <c r="H634" s="11" t="s">
        <v>2330</v>
      </c>
      <c r="I634" s="11" t="s">
        <v>48</v>
      </c>
      <c r="J634" s="11" t="s">
        <v>989</v>
      </c>
      <c r="K634" s="11" t="s">
        <v>50</v>
      </c>
      <c r="L634" s="23">
        <v>46075</v>
      </c>
      <c r="M634" s="11"/>
      <c r="N634" s="9" t="s">
        <v>2260</v>
      </c>
      <c r="O634" s="11" t="s">
        <v>51</v>
      </c>
      <c r="P634" s="16" t="s">
        <v>158</v>
      </c>
      <c r="Q634" s="11" t="s">
        <v>2331</v>
      </c>
    </row>
    <row r="635" spans="1:17" ht="66" x14ac:dyDescent="0.25">
      <c r="A635" s="13">
        <v>624</v>
      </c>
      <c r="B635" s="16" t="s">
        <v>2332</v>
      </c>
      <c r="C635" s="9">
        <v>16</v>
      </c>
      <c r="D635" s="9" t="str">
        <f t="shared" ca="1" si="12"/>
        <v>16 বছর 2 মাস 21 দিন</v>
      </c>
      <c r="E635" s="11" t="s">
        <v>2333</v>
      </c>
      <c r="F635" s="14">
        <v>31528</v>
      </c>
      <c r="G635" s="17">
        <v>46048</v>
      </c>
      <c r="H635" s="11" t="s">
        <v>2334</v>
      </c>
      <c r="I635" s="11" t="s">
        <v>265</v>
      </c>
      <c r="J635" s="11" t="s">
        <v>2081</v>
      </c>
      <c r="K635" s="11" t="s">
        <v>50</v>
      </c>
      <c r="L635" s="23">
        <v>46068</v>
      </c>
      <c r="M635" s="11"/>
      <c r="N635" s="9" t="s">
        <v>2260</v>
      </c>
      <c r="O635" s="11" t="s">
        <v>31</v>
      </c>
      <c r="P635" s="16" t="s">
        <v>158</v>
      </c>
      <c r="Q635" s="11" t="s">
        <v>873</v>
      </c>
    </row>
    <row r="636" spans="1:17" ht="66" x14ac:dyDescent="0.25">
      <c r="A636" s="13">
        <v>625</v>
      </c>
      <c r="B636" s="16" t="s">
        <v>2335</v>
      </c>
      <c r="C636" s="9">
        <v>17</v>
      </c>
      <c r="D636" s="9" t="str">
        <f t="shared" ref="D636:D699" ca="1" si="13">C636+DATEDIF(G636,TODAY(),"y")&amp;" "&amp;"বছর"&amp;" "&amp;DATEDIF(G636,TODAY(),"ym")&amp;" "&amp;"মাস"&amp;" "&amp;DATEDIF(G636,TODAY(),"md")&amp;" "&amp;"দিন"</f>
        <v>17 বছর 2 মাস 21 দিন</v>
      </c>
      <c r="E636" s="11" t="s">
        <v>2336</v>
      </c>
      <c r="F636" s="14">
        <v>31529</v>
      </c>
      <c r="G636" s="17">
        <v>46048</v>
      </c>
      <c r="H636" s="11" t="s">
        <v>2337</v>
      </c>
      <c r="I636" s="11" t="s">
        <v>27</v>
      </c>
      <c r="J636" s="11" t="s">
        <v>2338</v>
      </c>
      <c r="K636" s="11" t="s">
        <v>50</v>
      </c>
      <c r="L636" s="23">
        <v>46113</v>
      </c>
      <c r="M636" s="11"/>
      <c r="N636" s="9" t="s">
        <v>929</v>
      </c>
      <c r="O636" s="11" t="s">
        <v>100</v>
      </c>
      <c r="P636" s="9" t="s">
        <v>88</v>
      </c>
      <c r="Q636" s="11"/>
    </row>
    <row r="637" spans="1:17" ht="66" x14ac:dyDescent="0.25">
      <c r="A637" s="13">
        <v>626</v>
      </c>
      <c r="B637" s="16" t="s">
        <v>2339</v>
      </c>
      <c r="C637" s="9"/>
      <c r="D637" s="9" t="str">
        <f t="shared" ca="1" si="13"/>
        <v>0 বছর 2 মাস 21 দিন</v>
      </c>
      <c r="E637" s="11" t="s">
        <v>2340</v>
      </c>
      <c r="F637" s="14">
        <v>31530</v>
      </c>
      <c r="G637" s="17">
        <v>46048</v>
      </c>
      <c r="H637" s="11" t="s">
        <v>2341</v>
      </c>
      <c r="I637" s="11" t="s">
        <v>2149</v>
      </c>
      <c r="J637" s="11" t="s">
        <v>1106</v>
      </c>
      <c r="K637" s="11" t="s">
        <v>50</v>
      </c>
      <c r="L637" s="23">
        <v>46085</v>
      </c>
      <c r="M637" s="11"/>
      <c r="N637" s="9" t="s">
        <v>929</v>
      </c>
      <c r="O637" s="11" t="s">
        <v>31</v>
      </c>
      <c r="P637" s="9" t="s">
        <v>441</v>
      </c>
      <c r="Q637" s="11"/>
    </row>
    <row r="638" spans="1:17" ht="66" x14ac:dyDescent="0.25">
      <c r="A638" s="13">
        <v>627</v>
      </c>
      <c r="B638" s="16" t="s">
        <v>2342</v>
      </c>
      <c r="C638" s="9">
        <v>17</v>
      </c>
      <c r="D638" s="9" t="str">
        <f t="shared" ca="1" si="13"/>
        <v>17 বছর 2 মাস 20 দিন</v>
      </c>
      <c r="E638" s="11" t="s">
        <v>2343</v>
      </c>
      <c r="F638" s="14">
        <v>31531</v>
      </c>
      <c r="G638" s="17">
        <v>46049</v>
      </c>
      <c r="H638" s="11" t="s">
        <v>2344</v>
      </c>
      <c r="I638" s="11" t="s">
        <v>265</v>
      </c>
      <c r="J638" s="11" t="s">
        <v>1905</v>
      </c>
      <c r="K638" s="11" t="s">
        <v>50</v>
      </c>
      <c r="L638" s="23">
        <v>46127</v>
      </c>
      <c r="M638" s="11"/>
      <c r="N638" s="9" t="s">
        <v>929</v>
      </c>
      <c r="O638" s="11" t="s">
        <v>100</v>
      </c>
      <c r="P638" s="16" t="s">
        <v>158</v>
      </c>
      <c r="Q638" s="11" t="s">
        <v>782</v>
      </c>
    </row>
    <row r="639" spans="1:17" ht="66" x14ac:dyDescent="0.25">
      <c r="A639" s="13">
        <v>628</v>
      </c>
      <c r="B639" s="16" t="s">
        <v>2345</v>
      </c>
      <c r="C639" s="9">
        <v>17</v>
      </c>
      <c r="D639" s="9" t="str">
        <f t="shared" ca="1" si="13"/>
        <v>17 বছর 2 মাস 20 দিন</v>
      </c>
      <c r="E639" s="11" t="s">
        <v>2346</v>
      </c>
      <c r="F639" s="14">
        <v>31532</v>
      </c>
      <c r="G639" s="17">
        <v>46049</v>
      </c>
      <c r="H639" s="11" t="s">
        <v>2344</v>
      </c>
      <c r="I639" s="11" t="s">
        <v>265</v>
      </c>
      <c r="J639" s="11" t="s">
        <v>1905</v>
      </c>
      <c r="K639" s="11" t="s">
        <v>50</v>
      </c>
      <c r="L639" s="23">
        <v>46127</v>
      </c>
      <c r="M639" s="11"/>
      <c r="N639" s="9" t="s">
        <v>929</v>
      </c>
      <c r="O639" s="11" t="s">
        <v>110</v>
      </c>
      <c r="P639" s="9" t="s">
        <v>441</v>
      </c>
      <c r="Q639" s="11"/>
    </row>
    <row r="640" spans="1:17" ht="66" x14ac:dyDescent="0.25">
      <c r="A640" s="13">
        <v>629</v>
      </c>
      <c r="B640" s="16" t="s">
        <v>2347</v>
      </c>
      <c r="C640" s="9">
        <v>17</v>
      </c>
      <c r="D640" s="9" t="str">
        <f t="shared" ca="1" si="13"/>
        <v>17 বছর 2 মাস 20 দিন</v>
      </c>
      <c r="E640" s="11" t="s">
        <v>2348</v>
      </c>
      <c r="F640" s="14">
        <v>31533</v>
      </c>
      <c r="G640" s="17">
        <v>46049</v>
      </c>
      <c r="H640" s="11" t="s">
        <v>2349</v>
      </c>
      <c r="I640" s="11" t="s">
        <v>27</v>
      </c>
      <c r="J640" s="11" t="s">
        <v>2350</v>
      </c>
      <c r="K640" s="11" t="s">
        <v>50</v>
      </c>
      <c r="L640" s="23">
        <v>46119</v>
      </c>
      <c r="M640" s="11"/>
      <c r="N640" s="9" t="s">
        <v>929</v>
      </c>
      <c r="O640" s="11" t="s">
        <v>34</v>
      </c>
      <c r="P640" s="16" t="s">
        <v>158</v>
      </c>
      <c r="Q640" s="11" t="s">
        <v>782</v>
      </c>
    </row>
    <row r="641" spans="1:17" ht="66" x14ac:dyDescent="0.25">
      <c r="A641" s="13">
        <v>630</v>
      </c>
      <c r="B641" s="16" t="s">
        <v>2351</v>
      </c>
      <c r="C641" s="9">
        <v>20</v>
      </c>
      <c r="D641" s="9" t="str">
        <f t="shared" ca="1" si="13"/>
        <v>20 বছর 2 মাস 20 দিন</v>
      </c>
      <c r="E641" s="11" t="s">
        <v>2352</v>
      </c>
      <c r="F641" s="14">
        <v>31534</v>
      </c>
      <c r="G641" s="17">
        <v>46049</v>
      </c>
      <c r="H641" s="11" t="s">
        <v>2353</v>
      </c>
      <c r="I641" s="11" t="s">
        <v>588</v>
      </c>
      <c r="J641" s="11" t="s">
        <v>1623</v>
      </c>
      <c r="K641" s="11" t="s">
        <v>50</v>
      </c>
      <c r="L641" s="23">
        <v>46086</v>
      </c>
      <c r="M641" s="11"/>
      <c r="N641" s="9" t="s">
        <v>929</v>
      </c>
      <c r="O641" s="11" t="s">
        <v>34</v>
      </c>
      <c r="P641" s="16" t="s">
        <v>158</v>
      </c>
      <c r="Q641" s="11" t="s">
        <v>930</v>
      </c>
    </row>
    <row r="642" spans="1:17" ht="66" x14ac:dyDescent="0.25">
      <c r="A642" s="13">
        <v>631</v>
      </c>
      <c r="B642" s="16" t="s">
        <v>2354</v>
      </c>
      <c r="C642" s="9">
        <v>20</v>
      </c>
      <c r="D642" s="9" t="str">
        <f t="shared" ca="1" si="13"/>
        <v>20 বছর 2 মাস 20 দিন</v>
      </c>
      <c r="E642" s="11" t="s">
        <v>2355</v>
      </c>
      <c r="F642" s="14">
        <v>31535</v>
      </c>
      <c r="G642" s="17">
        <v>46049</v>
      </c>
      <c r="H642" s="11" t="s">
        <v>2353</v>
      </c>
      <c r="I642" s="11" t="s">
        <v>588</v>
      </c>
      <c r="J642" s="11" t="s">
        <v>1623</v>
      </c>
      <c r="K642" s="11" t="s">
        <v>50</v>
      </c>
      <c r="L642" s="23">
        <v>46086</v>
      </c>
      <c r="M642" s="11"/>
      <c r="N642" s="9" t="s">
        <v>929</v>
      </c>
      <c r="O642" s="11" t="s">
        <v>100</v>
      </c>
      <c r="P642" s="16" t="s">
        <v>158</v>
      </c>
      <c r="Q642" s="11" t="s">
        <v>930</v>
      </c>
    </row>
    <row r="643" spans="1:17" ht="66" x14ac:dyDescent="0.25">
      <c r="A643" s="13">
        <v>632</v>
      </c>
      <c r="B643" s="16" t="s">
        <v>2356</v>
      </c>
      <c r="C643" s="9">
        <v>20</v>
      </c>
      <c r="D643" s="9" t="str">
        <f t="shared" ca="1" si="13"/>
        <v>20 বছর 2 মাস 20 দিন</v>
      </c>
      <c r="E643" s="11" t="s">
        <v>2357</v>
      </c>
      <c r="F643" s="14">
        <v>31536</v>
      </c>
      <c r="G643" s="17">
        <v>46049</v>
      </c>
      <c r="H643" s="11" t="s">
        <v>2358</v>
      </c>
      <c r="I643" s="11" t="s">
        <v>27</v>
      </c>
      <c r="J643" s="11" t="s">
        <v>1623</v>
      </c>
      <c r="K643" s="11" t="s">
        <v>50</v>
      </c>
      <c r="L643" s="23">
        <v>46056</v>
      </c>
      <c r="M643" s="11"/>
      <c r="N643" s="9" t="s">
        <v>2260</v>
      </c>
      <c r="O643" s="11" t="s">
        <v>110</v>
      </c>
      <c r="P643" s="16" t="s">
        <v>158</v>
      </c>
      <c r="Q643" s="11" t="s">
        <v>831</v>
      </c>
    </row>
    <row r="644" spans="1:17" ht="75.75" customHeight="1" x14ac:dyDescent="0.25">
      <c r="A644" s="13">
        <v>633</v>
      </c>
      <c r="B644" s="16" t="s">
        <v>2359</v>
      </c>
      <c r="C644" s="9">
        <v>22</v>
      </c>
      <c r="D644" s="9" t="str">
        <f t="shared" ca="1" si="13"/>
        <v>22 বছর 2 মাস 20 দিন</v>
      </c>
      <c r="E644" s="11" t="s">
        <v>2360</v>
      </c>
      <c r="F644" s="14">
        <v>31537</v>
      </c>
      <c r="G644" s="17">
        <v>46049</v>
      </c>
      <c r="H644" s="11" t="s">
        <v>2361</v>
      </c>
      <c r="I644" s="11" t="s">
        <v>265</v>
      </c>
      <c r="J644" s="11" t="s">
        <v>2362</v>
      </c>
      <c r="K644" s="11" t="s">
        <v>50</v>
      </c>
      <c r="L644" s="23">
        <v>46076</v>
      </c>
      <c r="M644" s="11"/>
      <c r="N644" s="9" t="s">
        <v>2260</v>
      </c>
      <c r="O644" s="11" t="s">
        <v>100</v>
      </c>
      <c r="P644" s="16" t="s">
        <v>158</v>
      </c>
      <c r="Q644" s="11" t="s">
        <v>1025</v>
      </c>
    </row>
    <row r="645" spans="1:17" ht="68.25" customHeight="1" x14ac:dyDescent="0.25">
      <c r="A645" s="13">
        <v>634</v>
      </c>
      <c r="B645" s="16" t="s">
        <v>2363</v>
      </c>
      <c r="C645" s="9">
        <v>14</v>
      </c>
      <c r="D645" s="9" t="str">
        <f t="shared" ca="1" si="13"/>
        <v>14 বছর 2 মাস 20 দিন</v>
      </c>
      <c r="E645" s="11" t="s">
        <v>2364</v>
      </c>
      <c r="F645" s="14">
        <v>31538</v>
      </c>
      <c r="G645" s="17">
        <v>46049</v>
      </c>
      <c r="H645" s="11" t="s">
        <v>2365</v>
      </c>
      <c r="I645" s="11" t="s">
        <v>27</v>
      </c>
      <c r="J645" s="11" t="s">
        <v>2366</v>
      </c>
      <c r="K645" s="11" t="s">
        <v>50</v>
      </c>
      <c r="L645" s="23">
        <v>46085</v>
      </c>
      <c r="M645" s="11"/>
      <c r="N645" s="9" t="s">
        <v>2260</v>
      </c>
      <c r="O645" s="11" t="s">
        <v>31</v>
      </c>
      <c r="P645" s="9" t="s">
        <v>402</v>
      </c>
      <c r="Q645" s="11"/>
    </row>
    <row r="646" spans="1:17" ht="66" x14ac:dyDescent="0.25">
      <c r="A646" s="13">
        <v>635</v>
      </c>
      <c r="B646" s="16" t="s">
        <v>2367</v>
      </c>
      <c r="C646" s="9">
        <v>17</v>
      </c>
      <c r="D646" s="9" t="str">
        <f t="shared" ca="1" si="13"/>
        <v>17 বছর 2 মাস 20 দিন</v>
      </c>
      <c r="E646" s="11" t="s">
        <v>2368</v>
      </c>
      <c r="F646" s="14">
        <v>31539</v>
      </c>
      <c r="G646" s="17">
        <v>46049</v>
      </c>
      <c r="H646" s="11" t="s">
        <v>2369</v>
      </c>
      <c r="I646" s="11" t="s">
        <v>432</v>
      </c>
      <c r="J646" s="11" t="s">
        <v>2370</v>
      </c>
      <c r="K646" s="11" t="s">
        <v>50</v>
      </c>
      <c r="L646" s="23"/>
      <c r="M646" s="11"/>
      <c r="N646" s="9" t="s">
        <v>2260</v>
      </c>
      <c r="O646" s="11" t="s">
        <v>100</v>
      </c>
      <c r="P646" s="9" t="s">
        <v>441</v>
      </c>
      <c r="Q646" s="11"/>
    </row>
    <row r="647" spans="1:17" ht="66.75" customHeight="1" x14ac:dyDescent="0.25">
      <c r="A647" s="13">
        <v>636</v>
      </c>
      <c r="B647" s="16" t="s">
        <v>2371</v>
      </c>
      <c r="C647" s="9">
        <v>16</v>
      </c>
      <c r="D647" s="9" t="str">
        <f t="shared" ca="1" si="13"/>
        <v>16 বছর 2 মাস 20 দিন</v>
      </c>
      <c r="E647" s="11" t="s">
        <v>2372</v>
      </c>
      <c r="F647" s="14">
        <v>31540</v>
      </c>
      <c r="G647" s="17">
        <v>46049</v>
      </c>
      <c r="H647" s="11" t="s">
        <v>2373</v>
      </c>
      <c r="I647" s="11" t="s">
        <v>265</v>
      </c>
      <c r="J647" s="11" t="s">
        <v>2374</v>
      </c>
      <c r="K647" s="11" t="s">
        <v>50</v>
      </c>
      <c r="L647" s="23">
        <v>46114</v>
      </c>
      <c r="M647" s="11"/>
      <c r="N647" s="9" t="s">
        <v>2260</v>
      </c>
      <c r="O647" s="11" t="s">
        <v>110</v>
      </c>
      <c r="P647" s="9" t="s">
        <v>217</v>
      </c>
      <c r="Q647" s="11"/>
    </row>
    <row r="648" spans="1:17" ht="66" x14ac:dyDescent="0.25">
      <c r="A648" s="13">
        <v>637</v>
      </c>
      <c r="B648" s="16" t="s">
        <v>2375</v>
      </c>
      <c r="C648" s="9">
        <v>16</v>
      </c>
      <c r="D648" s="9" t="str">
        <f t="shared" ca="1" si="13"/>
        <v>16 বছর 2 মাস 20 দিন</v>
      </c>
      <c r="E648" s="11" t="s">
        <v>2376</v>
      </c>
      <c r="F648" s="14">
        <v>31541</v>
      </c>
      <c r="G648" s="17">
        <v>46049</v>
      </c>
      <c r="H648" s="11" t="s">
        <v>2377</v>
      </c>
      <c r="I648" s="11" t="s">
        <v>196</v>
      </c>
      <c r="J648" s="11" t="s">
        <v>872</v>
      </c>
      <c r="K648" s="11" t="s">
        <v>50</v>
      </c>
      <c r="L648" s="23">
        <v>46072</v>
      </c>
      <c r="M648" s="11"/>
      <c r="N648" s="9" t="s">
        <v>929</v>
      </c>
      <c r="O648" s="11" t="s">
        <v>34</v>
      </c>
      <c r="P648" s="16" t="s">
        <v>158</v>
      </c>
      <c r="Q648" s="11" t="s">
        <v>782</v>
      </c>
    </row>
    <row r="649" spans="1:17" ht="66" x14ac:dyDescent="0.25">
      <c r="A649" s="13">
        <v>638</v>
      </c>
      <c r="B649" s="16" t="s">
        <v>2378</v>
      </c>
      <c r="C649" s="9"/>
      <c r="D649" s="9" t="str">
        <f t="shared" ca="1" si="13"/>
        <v>0 বছর 2 মাস 20 দিন</v>
      </c>
      <c r="E649" s="11" t="s">
        <v>2379</v>
      </c>
      <c r="F649" s="14">
        <v>31542</v>
      </c>
      <c r="G649" s="17">
        <v>46049</v>
      </c>
      <c r="H649" s="11" t="s">
        <v>2380</v>
      </c>
      <c r="I649" s="11" t="s">
        <v>196</v>
      </c>
      <c r="J649" s="11" t="s">
        <v>872</v>
      </c>
      <c r="K649" s="11" t="s">
        <v>50</v>
      </c>
      <c r="L649" s="23">
        <v>46077</v>
      </c>
      <c r="M649" s="11"/>
      <c r="N649" s="9" t="s">
        <v>929</v>
      </c>
      <c r="O649" s="11" t="s">
        <v>31</v>
      </c>
      <c r="P649" s="16" t="s">
        <v>158</v>
      </c>
      <c r="Q649" s="11" t="s">
        <v>1025</v>
      </c>
    </row>
    <row r="650" spans="1:17" ht="66" x14ac:dyDescent="0.25">
      <c r="A650" s="13">
        <v>639</v>
      </c>
      <c r="B650" s="16" t="s">
        <v>2381</v>
      </c>
      <c r="C650" s="9"/>
      <c r="D650" s="9" t="str">
        <f t="shared" ca="1" si="13"/>
        <v>0 বছর 2 মাস 20 দিন</v>
      </c>
      <c r="E650" s="11" t="s">
        <v>2382</v>
      </c>
      <c r="F650" s="14">
        <v>31543</v>
      </c>
      <c r="G650" s="17">
        <v>46049</v>
      </c>
      <c r="H650" s="11" t="s">
        <v>2383</v>
      </c>
      <c r="I650" s="11" t="s">
        <v>552</v>
      </c>
      <c r="J650" s="11" t="s">
        <v>896</v>
      </c>
      <c r="K650" s="11" t="s">
        <v>50</v>
      </c>
      <c r="L650" s="23"/>
      <c r="M650" s="11"/>
      <c r="N650" s="9" t="s">
        <v>929</v>
      </c>
      <c r="O650" s="11" t="s">
        <v>31</v>
      </c>
      <c r="P650" s="9" t="s">
        <v>94</v>
      </c>
      <c r="Q650" s="11"/>
    </row>
    <row r="651" spans="1:17" ht="66" x14ac:dyDescent="0.25">
      <c r="A651" s="13">
        <v>640</v>
      </c>
      <c r="B651" s="16" t="s">
        <v>2384</v>
      </c>
      <c r="C651" s="9"/>
      <c r="D651" s="9" t="str">
        <f t="shared" ca="1" si="13"/>
        <v>0 বছর 2 মাস 20 দিন</v>
      </c>
      <c r="E651" s="11" t="s">
        <v>2385</v>
      </c>
      <c r="F651" s="14">
        <v>31544</v>
      </c>
      <c r="G651" s="17">
        <v>46049</v>
      </c>
      <c r="H651" s="11" t="s">
        <v>2386</v>
      </c>
      <c r="I651" s="11" t="s">
        <v>27</v>
      </c>
      <c r="J651" s="11" t="s">
        <v>872</v>
      </c>
      <c r="K651" s="11" t="s">
        <v>50</v>
      </c>
      <c r="L651" s="23">
        <v>46086</v>
      </c>
      <c r="M651" s="11"/>
      <c r="N651" s="9" t="s">
        <v>929</v>
      </c>
      <c r="O651" s="11" t="s">
        <v>31</v>
      </c>
      <c r="P651" s="9" t="s">
        <v>88</v>
      </c>
      <c r="Q651" s="11"/>
    </row>
    <row r="652" spans="1:17" ht="82.5" x14ac:dyDescent="0.25">
      <c r="A652" s="13">
        <v>641</v>
      </c>
      <c r="B652" s="16" t="s">
        <v>2387</v>
      </c>
      <c r="C652" s="9">
        <v>16</v>
      </c>
      <c r="D652" s="9" t="str">
        <f t="shared" ca="1" si="13"/>
        <v>16 বছর 2 মাস 19 দিন</v>
      </c>
      <c r="E652" s="11" t="s">
        <v>2388</v>
      </c>
      <c r="F652" s="14">
        <v>31546</v>
      </c>
      <c r="G652" s="17">
        <v>46050</v>
      </c>
      <c r="H652" s="11" t="s">
        <v>2389</v>
      </c>
      <c r="I652" s="11" t="s">
        <v>196</v>
      </c>
      <c r="J652" s="11" t="s">
        <v>1055</v>
      </c>
      <c r="K652" s="11" t="s">
        <v>50</v>
      </c>
      <c r="L652" s="23">
        <v>46096</v>
      </c>
      <c r="M652" s="11"/>
      <c r="N652" s="9" t="s">
        <v>929</v>
      </c>
      <c r="O652" s="11" t="s">
        <v>110</v>
      </c>
      <c r="P652" s="9" t="s">
        <v>192</v>
      </c>
      <c r="Q652" s="11"/>
    </row>
    <row r="653" spans="1:17" ht="66" x14ac:dyDescent="0.25">
      <c r="A653" s="13">
        <v>642</v>
      </c>
      <c r="B653" s="16" t="s">
        <v>2390</v>
      </c>
      <c r="C653" s="9">
        <v>13</v>
      </c>
      <c r="D653" s="9" t="str">
        <f t="shared" ca="1" si="13"/>
        <v>13 বছর 2 মাস 19 দিন</v>
      </c>
      <c r="E653" s="11" t="s">
        <v>2391</v>
      </c>
      <c r="F653" s="14">
        <v>31547</v>
      </c>
      <c r="G653" s="17">
        <v>46050</v>
      </c>
      <c r="H653" s="11" t="s">
        <v>2392</v>
      </c>
      <c r="I653" s="11"/>
      <c r="J653" s="11" t="s">
        <v>882</v>
      </c>
      <c r="K653" s="11" t="s">
        <v>50</v>
      </c>
      <c r="L653" s="23">
        <v>46119</v>
      </c>
      <c r="M653" s="11"/>
      <c r="N653" s="9" t="s">
        <v>929</v>
      </c>
      <c r="O653" s="11" t="s">
        <v>31</v>
      </c>
      <c r="P653" s="16" t="s">
        <v>158</v>
      </c>
      <c r="Q653" s="11" t="s">
        <v>761</v>
      </c>
    </row>
    <row r="654" spans="1:17" ht="66" x14ac:dyDescent="0.25">
      <c r="A654" s="13">
        <v>643</v>
      </c>
      <c r="B654" s="16" t="s">
        <v>2393</v>
      </c>
      <c r="C654" s="9">
        <v>17</v>
      </c>
      <c r="D654" s="9" t="str">
        <f t="shared" ca="1" si="13"/>
        <v>17 বছর 2 মাস 19 দিন</v>
      </c>
      <c r="E654" s="11" t="s">
        <v>2394</v>
      </c>
      <c r="F654" s="14">
        <v>31549</v>
      </c>
      <c r="G654" s="17">
        <v>46050</v>
      </c>
      <c r="H654" s="11" t="s">
        <v>2395</v>
      </c>
      <c r="I654" s="11" t="s">
        <v>265</v>
      </c>
      <c r="J654" s="11" t="s">
        <v>1200</v>
      </c>
      <c r="K654" s="11" t="s">
        <v>50</v>
      </c>
      <c r="L654" s="23">
        <v>46071</v>
      </c>
      <c r="M654" s="11"/>
      <c r="N654" s="9" t="s">
        <v>2260</v>
      </c>
      <c r="O654" s="11" t="s">
        <v>34</v>
      </c>
      <c r="P654" s="16" t="s">
        <v>158</v>
      </c>
      <c r="Q654" s="11" t="s">
        <v>1677</v>
      </c>
    </row>
    <row r="655" spans="1:17" ht="70.5" customHeight="1" x14ac:dyDescent="0.25">
      <c r="A655" s="13">
        <v>644</v>
      </c>
      <c r="B655" s="16" t="s">
        <v>2396</v>
      </c>
      <c r="C655" s="9">
        <v>16</v>
      </c>
      <c r="D655" s="9" t="str">
        <f t="shared" ca="1" si="13"/>
        <v>16 বছর 2 মাস 19 দিন</v>
      </c>
      <c r="E655" s="11" t="s">
        <v>2397</v>
      </c>
      <c r="F655" s="14">
        <v>31550</v>
      </c>
      <c r="G655" s="17">
        <v>46050</v>
      </c>
      <c r="H655" s="11" t="s">
        <v>2398</v>
      </c>
      <c r="I655" s="11" t="s">
        <v>265</v>
      </c>
      <c r="J655" s="11" t="s">
        <v>1200</v>
      </c>
      <c r="K655" s="11" t="s">
        <v>50</v>
      </c>
      <c r="L655" s="23">
        <v>46071</v>
      </c>
      <c r="M655" s="11"/>
      <c r="N655" s="9" t="s">
        <v>2260</v>
      </c>
      <c r="O655" s="11" t="s">
        <v>100</v>
      </c>
      <c r="P655" s="16" t="s">
        <v>158</v>
      </c>
      <c r="Q655" s="11" t="s">
        <v>819</v>
      </c>
    </row>
    <row r="656" spans="1:17" ht="66" x14ac:dyDescent="0.25">
      <c r="A656" s="13">
        <v>645</v>
      </c>
      <c r="B656" s="16" t="s">
        <v>2399</v>
      </c>
      <c r="C656" s="9">
        <v>16</v>
      </c>
      <c r="D656" s="9" t="str">
        <f t="shared" ca="1" si="13"/>
        <v>16 বছর 2 মাস 18 দিন</v>
      </c>
      <c r="E656" s="11" t="s">
        <v>2400</v>
      </c>
      <c r="F656" s="14">
        <v>31551</v>
      </c>
      <c r="G656" s="17">
        <v>46051</v>
      </c>
      <c r="H656" s="11" t="s">
        <v>2401</v>
      </c>
      <c r="I656" s="11" t="s">
        <v>265</v>
      </c>
      <c r="J656" s="11" t="s">
        <v>2402</v>
      </c>
      <c r="K656" s="11" t="s">
        <v>50</v>
      </c>
      <c r="L656" s="23">
        <v>46092</v>
      </c>
      <c r="M656" s="11"/>
      <c r="N656" s="9" t="s">
        <v>2260</v>
      </c>
      <c r="O656" s="11" t="s">
        <v>100</v>
      </c>
      <c r="P656" s="16" t="s">
        <v>158</v>
      </c>
      <c r="Q656" s="11" t="s">
        <v>1602</v>
      </c>
    </row>
    <row r="657" spans="1:17" ht="82.5" x14ac:dyDescent="0.25">
      <c r="A657" s="13">
        <v>646</v>
      </c>
      <c r="B657" s="16" t="s">
        <v>2403</v>
      </c>
      <c r="C657" s="9">
        <v>17</v>
      </c>
      <c r="D657" s="9" t="str">
        <f t="shared" ca="1" si="13"/>
        <v>17 বছর 2 মাস 18 দিন</v>
      </c>
      <c r="E657" s="11" t="s">
        <v>2404</v>
      </c>
      <c r="F657" s="14">
        <v>31552</v>
      </c>
      <c r="G657" s="17">
        <v>46051</v>
      </c>
      <c r="H657" s="11" t="s">
        <v>2405</v>
      </c>
      <c r="I657" s="11" t="s">
        <v>48</v>
      </c>
      <c r="J657" s="11" t="s">
        <v>1977</v>
      </c>
      <c r="K657" s="11" t="s">
        <v>50</v>
      </c>
      <c r="L657" s="23">
        <v>46051</v>
      </c>
      <c r="M657" s="11"/>
      <c r="N657" s="9" t="s">
        <v>2260</v>
      </c>
      <c r="O657" s="11" t="s">
        <v>51</v>
      </c>
      <c r="P657" s="9" t="s">
        <v>402</v>
      </c>
      <c r="Q657" s="11"/>
    </row>
    <row r="658" spans="1:17" ht="66" x14ac:dyDescent="0.25">
      <c r="A658" s="13">
        <v>647</v>
      </c>
      <c r="B658" s="16" t="s">
        <v>2406</v>
      </c>
      <c r="C658" s="9">
        <v>17</v>
      </c>
      <c r="D658" s="9" t="str">
        <f t="shared" ca="1" si="13"/>
        <v>17 বছর 2 মাস 18 দিন</v>
      </c>
      <c r="E658" s="11" t="s">
        <v>2407</v>
      </c>
      <c r="F658" s="14">
        <v>31553</v>
      </c>
      <c r="G658" s="17">
        <v>46051</v>
      </c>
      <c r="H658" s="11" t="s">
        <v>2408</v>
      </c>
      <c r="I658" s="11"/>
      <c r="J658" s="11" t="s">
        <v>1017</v>
      </c>
      <c r="K658" s="11" t="s">
        <v>50</v>
      </c>
      <c r="L658" s="23">
        <v>46068</v>
      </c>
      <c r="M658" s="11"/>
      <c r="N658" s="9" t="s">
        <v>929</v>
      </c>
      <c r="O658" s="11" t="s">
        <v>110</v>
      </c>
      <c r="P658" s="16" t="s">
        <v>158</v>
      </c>
      <c r="Q658" s="11" t="s">
        <v>283</v>
      </c>
    </row>
    <row r="659" spans="1:17" ht="82.5" x14ac:dyDescent="0.25">
      <c r="A659" s="13">
        <v>648</v>
      </c>
      <c r="B659" s="16" t="s">
        <v>2409</v>
      </c>
      <c r="C659" s="9"/>
      <c r="D659" s="9" t="str">
        <f t="shared" ca="1" si="13"/>
        <v>0 বছর 2 মাস 18 দিন</v>
      </c>
      <c r="E659" s="11" t="s">
        <v>2410</v>
      </c>
      <c r="F659" s="14">
        <v>31554</v>
      </c>
      <c r="G659" s="17">
        <v>46051</v>
      </c>
      <c r="H659" s="11" t="s">
        <v>2411</v>
      </c>
      <c r="I659" s="11" t="s">
        <v>27</v>
      </c>
      <c r="J659" s="11" t="s">
        <v>1402</v>
      </c>
      <c r="K659" s="11" t="s">
        <v>50</v>
      </c>
      <c r="L659" s="23">
        <v>46113</v>
      </c>
      <c r="M659" s="11"/>
      <c r="N659" s="9" t="s">
        <v>929</v>
      </c>
      <c r="O659" s="11" t="s">
        <v>31</v>
      </c>
      <c r="P659" s="9" t="s">
        <v>402</v>
      </c>
      <c r="Q659" s="11"/>
    </row>
    <row r="660" spans="1:17" ht="76.5" customHeight="1" x14ac:dyDescent="0.25">
      <c r="A660" s="13">
        <v>649</v>
      </c>
      <c r="B660" s="16" t="s">
        <v>2412</v>
      </c>
      <c r="C660" s="9">
        <v>15</v>
      </c>
      <c r="D660" s="9" t="str">
        <f t="shared" ca="1" si="13"/>
        <v>15 বছর 2 মাস 18 দিন</v>
      </c>
      <c r="E660" s="11" t="s">
        <v>2413</v>
      </c>
      <c r="F660" s="14">
        <v>31555</v>
      </c>
      <c r="G660" s="17">
        <v>46051</v>
      </c>
      <c r="H660" s="11" t="s">
        <v>2414</v>
      </c>
      <c r="I660" s="11" t="s">
        <v>265</v>
      </c>
      <c r="J660" s="11" t="s">
        <v>2324</v>
      </c>
      <c r="K660" s="11" t="s">
        <v>50</v>
      </c>
      <c r="L660" s="23">
        <v>46092</v>
      </c>
      <c r="M660" s="11"/>
      <c r="N660" s="9" t="s">
        <v>929</v>
      </c>
      <c r="O660" s="11" t="s">
        <v>31</v>
      </c>
      <c r="P660" s="9" t="s">
        <v>441</v>
      </c>
      <c r="Q660" s="11"/>
    </row>
    <row r="661" spans="1:17" ht="82.5" x14ac:dyDescent="0.25">
      <c r="A661" s="13">
        <v>650</v>
      </c>
      <c r="B661" s="16" t="s">
        <v>2415</v>
      </c>
      <c r="C661" s="9">
        <v>16</v>
      </c>
      <c r="D661" s="9" t="str">
        <f t="shared" ca="1" si="13"/>
        <v>16 বছর 2 মাস 18 দিন</v>
      </c>
      <c r="E661" s="11" t="s">
        <v>2416</v>
      </c>
      <c r="F661" s="14">
        <v>31556</v>
      </c>
      <c r="G661" s="17">
        <v>46051</v>
      </c>
      <c r="H661" s="11" t="s">
        <v>2417</v>
      </c>
      <c r="I661" s="11" t="s">
        <v>27</v>
      </c>
      <c r="J661" s="11" t="s">
        <v>1039</v>
      </c>
      <c r="K661" s="11" t="s">
        <v>50</v>
      </c>
      <c r="L661" s="23">
        <v>46089</v>
      </c>
      <c r="M661" s="11"/>
      <c r="N661" s="9" t="s">
        <v>929</v>
      </c>
      <c r="O661" s="11" t="s">
        <v>34</v>
      </c>
      <c r="P661" s="16" t="s">
        <v>158</v>
      </c>
      <c r="Q661" s="11" t="s">
        <v>169</v>
      </c>
    </row>
    <row r="662" spans="1:17" ht="66" x14ac:dyDescent="0.25">
      <c r="A662" s="13">
        <v>651</v>
      </c>
      <c r="B662" s="16" t="s">
        <v>2418</v>
      </c>
      <c r="C662" s="9">
        <v>14</v>
      </c>
      <c r="D662" s="9" t="str">
        <f t="shared" ca="1" si="13"/>
        <v>14 বছর 2 মাস 18 দিন</v>
      </c>
      <c r="E662" s="11" t="s">
        <v>2419</v>
      </c>
      <c r="F662" s="14">
        <v>31557</v>
      </c>
      <c r="G662" s="17">
        <v>46051</v>
      </c>
      <c r="H662" s="11" t="s">
        <v>2420</v>
      </c>
      <c r="I662" s="11" t="s">
        <v>265</v>
      </c>
      <c r="J662" s="11" t="s">
        <v>989</v>
      </c>
      <c r="K662" s="11" t="s">
        <v>50</v>
      </c>
      <c r="L662" s="23">
        <v>46089</v>
      </c>
      <c r="M662" s="11"/>
      <c r="N662" s="9" t="s">
        <v>929</v>
      </c>
      <c r="O662" s="11" t="s">
        <v>31</v>
      </c>
      <c r="P662" s="16" t="s">
        <v>158</v>
      </c>
      <c r="Q662" s="11" t="s">
        <v>831</v>
      </c>
    </row>
    <row r="663" spans="1:17" ht="66" x14ac:dyDescent="0.25">
      <c r="A663" s="13">
        <v>652</v>
      </c>
      <c r="B663" s="16" t="s">
        <v>2421</v>
      </c>
      <c r="C663" s="9">
        <v>17</v>
      </c>
      <c r="D663" s="9" t="str">
        <f t="shared" ca="1" si="13"/>
        <v>17 বছর 2 মাস 17 দিন</v>
      </c>
      <c r="E663" s="11" t="s">
        <v>2422</v>
      </c>
      <c r="F663" s="14">
        <v>31559</v>
      </c>
      <c r="G663" s="17">
        <v>46052</v>
      </c>
      <c r="H663" s="11" t="s">
        <v>2423</v>
      </c>
      <c r="I663" s="11" t="s">
        <v>588</v>
      </c>
      <c r="J663" s="11" t="s">
        <v>1623</v>
      </c>
      <c r="K663" s="11" t="s">
        <v>50</v>
      </c>
      <c r="L663" s="23">
        <v>46104</v>
      </c>
      <c r="M663" s="11"/>
      <c r="N663" s="9" t="s">
        <v>929</v>
      </c>
      <c r="O663" s="11" t="s">
        <v>100</v>
      </c>
      <c r="P663" s="9" t="s">
        <v>217</v>
      </c>
      <c r="Q663" s="11"/>
    </row>
    <row r="664" spans="1:17" ht="66" x14ac:dyDescent="0.25">
      <c r="A664" s="13">
        <v>653</v>
      </c>
      <c r="B664" s="16" t="s">
        <v>2424</v>
      </c>
      <c r="C664" s="9">
        <v>17</v>
      </c>
      <c r="D664" s="9" t="str">
        <f t="shared" ca="1" si="13"/>
        <v>17 বছর 2 মাস 17 দিন</v>
      </c>
      <c r="E664" s="11" t="s">
        <v>2425</v>
      </c>
      <c r="F664" s="14">
        <v>31560</v>
      </c>
      <c r="G664" s="17">
        <v>46052</v>
      </c>
      <c r="H664" s="11" t="s">
        <v>2426</v>
      </c>
      <c r="I664" s="11" t="s">
        <v>38</v>
      </c>
      <c r="J664" s="11" t="s">
        <v>1350</v>
      </c>
      <c r="K664" s="11" t="s">
        <v>50</v>
      </c>
      <c r="L664" s="23">
        <v>46118</v>
      </c>
      <c r="M664" s="11"/>
      <c r="N664" s="9" t="s">
        <v>2260</v>
      </c>
      <c r="O664" s="11" t="s">
        <v>100</v>
      </c>
      <c r="P664" s="16" t="s">
        <v>158</v>
      </c>
      <c r="Q664" s="11" t="s">
        <v>831</v>
      </c>
    </row>
    <row r="665" spans="1:17" ht="72" customHeight="1" x14ac:dyDescent="0.25">
      <c r="A665" s="13">
        <v>654</v>
      </c>
      <c r="B665" s="16" t="s">
        <v>2427</v>
      </c>
      <c r="C665" s="9">
        <v>18</v>
      </c>
      <c r="D665" s="9" t="str">
        <f t="shared" ca="1" si="13"/>
        <v>18 বছর 2 মাস 17 দিন</v>
      </c>
      <c r="E665" s="11" t="s">
        <v>2428</v>
      </c>
      <c r="F665" s="14">
        <v>31561</v>
      </c>
      <c r="G665" s="17">
        <v>46052</v>
      </c>
      <c r="H665" s="11" t="s">
        <v>2429</v>
      </c>
      <c r="I665" s="11" t="s">
        <v>588</v>
      </c>
      <c r="J665" s="11" t="s">
        <v>1051</v>
      </c>
      <c r="K665" s="11" t="s">
        <v>50</v>
      </c>
      <c r="L665" s="23">
        <v>46140</v>
      </c>
      <c r="M665" s="11"/>
      <c r="N665" s="9" t="s">
        <v>2260</v>
      </c>
      <c r="O665" s="11" t="s">
        <v>31</v>
      </c>
      <c r="P665" s="16" t="s">
        <v>158</v>
      </c>
      <c r="Q665" s="11" t="s">
        <v>873</v>
      </c>
    </row>
    <row r="666" spans="1:17" ht="71.25" customHeight="1" x14ac:dyDescent="0.25">
      <c r="A666" s="13">
        <v>655</v>
      </c>
      <c r="B666" s="16" t="s">
        <v>2430</v>
      </c>
      <c r="C666" s="9">
        <v>16</v>
      </c>
      <c r="D666" s="9" t="str">
        <f t="shared" ca="1" si="13"/>
        <v>16 বছর 2 মাস 17 দিন</v>
      </c>
      <c r="E666" s="11" t="s">
        <v>2431</v>
      </c>
      <c r="F666" s="14">
        <v>31562</v>
      </c>
      <c r="G666" s="17">
        <v>46052</v>
      </c>
      <c r="H666" s="11" t="s">
        <v>2432</v>
      </c>
      <c r="I666" s="11"/>
      <c r="J666" s="11" t="s">
        <v>1343</v>
      </c>
      <c r="K666" s="11" t="s">
        <v>50</v>
      </c>
      <c r="L666" s="23">
        <v>46090</v>
      </c>
      <c r="M666" s="11"/>
      <c r="N666" s="9" t="s">
        <v>2260</v>
      </c>
      <c r="O666" s="11" t="s">
        <v>100</v>
      </c>
      <c r="P666" s="9" t="s">
        <v>402</v>
      </c>
      <c r="Q666" s="11"/>
    </row>
    <row r="667" spans="1:17" ht="68.25" customHeight="1" x14ac:dyDescent="0.25">
      <c r="A667" s="13">
        <v>656</v>
      </c>
      <c r="B667" s="16" t="s">
        <v>2433</v>
      </c>
      <c r="C667" s="9">
        <v>16</v>
      </c>
      <c r="D667" s="9" t="str">
        <f t="shared" ca="1" si="13"/>
        <v>16 বছর 2 মাস 17 দিন</v>
      </c>
      <c r="E667" s="11" t="s">
        <v>2434</v>
      </c>
      <c r="F667" s="14">
        <v>31563</v>
      </c>
      <c r="G667" s="17">
        <v>46052</v>
      </c>
      <c r="H667" s="11" t="s">
        <v>2432</v>
      </c>
      <c r="I667" s="11"/>
      <c r="J667" s="11" t="s">
        <v>1343</v>
      </c>
      <c r="K667" s="11" t="s">
        <v>50</v>
      </c>
      <c r="L667" s="23">
        <v>46090</v>
      </c>
      <c r="M667" s="11"/>
      <c r="N667" s="9" t="s">
        <v>2260</v>
      </c>
      <c r="O667" s="11" t="s">
        <v>100</v>
      </c>
      <c r="P667" s="9" t="s">
        <v>402</v>
      </c>
      <c r="Q667" s="11"/>
    </row>
    <row r="668" spans="1:17" ht="74.25" customHeight="1" x14ac:dyDescent="0.25">
      <c r="A668" s="13">
        <v>657</v>
      </c>
      <c r="B668" s="16" t="s">
        <v>2435</v>
      </c>
      <c r="C668" s="9">
        <v>17</v>
      </c>
      <c r="D668" s="9" t="str">
        <f t="shared" ca="1" si="13"/>
        <v>17 বছর 2 মাস 17 দিন</v>
      </c>
      <c r="E668" s="11" t="s">
        <v>2436</v>
      </c>
      <c r="F668" s="14">
        <v>31564</v>
      </c>
      <c r="G668" s="17">
        <v>46052</v>
      </c>
      <c r="H668" s="11" t="s">
        <v>2437</v>
      </c>
      <c r="I668" s="11" t="s">
        <v>38</v>
      </c>
      <c r="J668" s="11" t="s">
        <v>1106</v>
      </c>
      <c r="K668" s="11" t="s">
        <v>50</v>
      </c>
      <c r="L668" s="23">
        <v>46092</v>
      </c>
      <c r="M668" s="11"/>
      <c r="N668" s="9" t="s">
        <v>2260</v>
      </c>
      <c r="O668" s="11" t="s">
        <v>34</v>
      </c>
      <c r="P668" s="9" t="s">
        <v>88</v>
      </c>
      <c r="Q668" s="11"/>
    </row>
    <row r="669" spans="1:17" ht="83.25" customHeight="1" x14ac:dyDescent="0.25">
      <c r="A669" s="13">
        <v>658</v>
      </c>
      <c r="B669" s="16" t="s">
        <v>2438</v>
      </c>
      <c r="C669" s="9">
        <v>16</v>
      </c>
      <c r="D669" s="9" t="str">
        <f t="shared" ca="1" si="13"/>
        <v>16 বছর 2 মাস 17 দিন</v>
      </c>
      <c r="E669" s="11" t="s">
        <v>2439</v>
      </c>
      <c r="F669" s="14">
        <v>31565</v>
      </c>
      <c r="G669" s="17">
        <v>46052</v>
      </c>
      <c r="H669" s="31" t="s">
        <v>2440</v>
      </c>
      <c r="I669" s="11" t="s">
        <v>843</v>
      </c>
      <c r="J669" s="11" t="s">
        <v>896</v>
      </c>
      <c r="K669" s="11" t="s">
        <v>50</v>
      </c>
      <c r="L669" s="23">
        <v>46062</v>
      </c>
      <c r="M669" s="11"/>
      <c r="N669" s="9" t="s">
        <v>929</v>
      </c>
      <c r="O669" s="11" t="s">
        <v>31</v>
      </c>
      <c r="P669" s="16" t="s">
        <v>158</v>
      </c>
      <c r="Q669" s="11" t="s">
        <v>169</v>
      </c>
    </row>
    <row r="670" spans="1:17" ht="122.25" customHeight="1" x14ac:dyDescent="0.25">
      <c r="A670" s="13">
        <v>659</v>
      </c>
      <c r="B670" s="16" t="s">
        <v>2441</v>
      </c>
      <c r="C670" s="9">
        <v>16</v>
      </c>
      <c r="D670" s="9" t="str">
        <f t="shared" ca="1" si="13"/>
        <v>16 বছর 2 মাস 17 দিন</v>
      </c>
      <c r="E670" s="11" t="s">
        <v>2442</v>
      </c>
      <c r="F670" s="14">
        <v>31566</v>
      </c>
      <c r="G670" s="17">
        <v>46052</v>
      </c>
      <c r="H670" s="11" t="s">
        <v>2440</v>
      </c>
      <c r="I670" s="11" t="s">
        <v>843</v>
      </c>
      <c r="J670" s="11" t="s">
        <v>896</v>
      </c>
      <c r="K670" s="11" t="s">
        <v>50</v>
      </c>
      <c r="L670" s="23">
        <v>46062</v>
      </c>
      <c r="M670" s="11"/>
      <c r="N670" s="9" t="s">
        <v>929</v>
      </c>
      <c r="O670" s="11" t="s">
        <v>34</v>
      </c>
      <c r="P670" s="16" t="s">
        <v>158</v>
      </c>
      <c r="Q670" s="11" t="s">
        <v>159</v>
      </c>
    </row>
    <row r="671" spans="1:17" ht="165" x14ac:dyDescent="0.25">
      <c r="A671" s="13">
        <v>660</v>
      </c>
      <c r="B671" s="16" t="s">
        <v>2443</v>
      </c>
      <c r="C671" s="9">
        <v>16</v>
      </c>
      <c r="D671" s="9" t="str">
        <f t="shared" ca="1" si="13"/>
        <v>16 বছর 2 মাস 17 দিন</v>
      </c>
      <c r="E671" s="11" t="s">
        <v>2444</v>
      </c>
      <c r="F671" s="14">
        <v>31567</v>
      </c>
      <c r="G671" s="17">
        <v>46052</v>
      </c>
      <c r="H671" s="11" t="s">
        <v>2440</v>
      </c>
      <c r="I671" s="11" t="s">
        <v>843</v>
      </c>
      <c r="J671" s="11" t="s">
        <v>896</v>
      </c>
      <c r="K671" s="11" t="s">
        <v>50</v>
      </c>
      <c r="L671" s="23">
        <v>46062</v>
      </c>
      <c r="M671" s="11"/>
      <c r="N671" s="9" t="s">
        <v>929</v>
      </c>
      <c r="O671" s="11" t="s">
        <v>110</v>
      </c>
      <c r="P671" s="16" t="s">
        <v>158</v>
      </c>
      <c r="Q671" s="11" t="s">
        <v>1025</v>
      </c>
    </row>
    <row r="672" spans="1:17" ht="82.5" x14ac:dyDescent="0.25">
      <c r="A672" s="13">
        <v>661</v>
      </c>
      <c r="B672" s="16" t="s">
        <v>2445</v>
      </c>
      <c r="C672" s="9"/>
      <c r="D672" s="9" t="str">
        <f t="shared" ca="1" si="13"/>
        <v>0 বছর 2 মাস 17 দিন</v>
      </c>
      <c r="E672" s="11" t="s">
        <v>2446</v>
      </c>
      <c r="F672" s="14">
        <v>31568</v>
      </c>
      <c r="G672" s="17">
        <v>46052</v>
      </c>
      <c r="H672" s="11" t="s">
        <v>2447</v>
      </c>
      <c r="I672" s="11" t="s">
        <v>552</v>
      </c>
      <c r="J672" s="11" t="s">
        <v>896</v>
      </c>
      <c r="K672" s="11" t="s">
        <v>50</v>
      </c>
      <c r="L672" s="23">
        <v>46076</v>
      </c>
      <c r="M672" s="11"/>
      <c r="N672" s="9" t="s">
        <v>929</v>
      </c>
      <c r="O672" s="11" t="s">
        <v>31</v>
      </c>
      <c r="P672" s="9" t="s">
        <v>402</v>
      </c>
      <c r="Q672" s="11"/>
    </row>
    <row r="673" spans="1:17" ht="66" x14ac:dyDescent="0.25">
      <c r="A673" s="13">
        <v>662</v>
      </c>
      <c r="B673" s="16" t="s">
        <v>2448</v>
      </c>
      <c r="C673" s="9">
        <v>13</v>
      </c>
      <c r="D673" s="9" t="str">
        <f t="shared" ca="1" si="13"/>
        <v>13 বছর 2 মাস 17 দিন</v>
      </c>
      <c r="E673" s="11" t="s">
        <v>2449</v>
      </c>
      <c r="F673" s="14">
        <v>31569</v>
      </c>
      <c r="G673" s="17">
        <v>46052</v>
      </c>
      <c r="H673" s="11" t="s">
        <v>2450</v>
      </c>
      <c r="I673" s="11"/>
      <c r="J673" s="11" t="s">
        <v>1402</v>
      </c>
      <c r="K673" s="11" t="s">
        <v>50</v>
      </c>
      <c r="L673" s="23">
        <v>46058</v>
      </c>
      <c r="M673" s="11"/>
      <c r="N673" s="9" t="s">
        <v>929</v>
      </c>
      <c r="O673" s="11" t="s">
        <v>31</v>
      </c>
      <c r="P673" s="16" t="s">
        <v>158</v>
      </c>
      <c r="Q673" s="11" t="s">
        <v>782</v>
      </c>
    </row>
    <row r="674" spans="1:17" ht="66" x14ac:dyDescent="0.25">
      <c r="A674" s="13">
        <v>663</v>
      </c>
      <c r="B674" s="16" t="s">
        <v>2451</v>
      </c>
      <c r="C674" s="9">
        <v>15</v>
      </c>
      <c r="D674" s="9" t="str">
        <f t="shared" ca="1" si="13"/>
        <v>15 বছর 2 মাস 17 দিন</v>
      </c>
      <c r="E674" s="11" t="s">
        <v>2449</v>
      </c>
      <c r="F674" s="14">
        <v>31570</v>
      </c>
      <c r="G674" s="17">
        <v>46052</v>
      </c>
      <c r="H674" s="11" t="s">
        <v>2450</v>
      </c>
      <c r="I674" s="11"/>
      <c r="J674" s="11" t="s">
        <v>1402</v>
      </c>
      <c r="K674" s="11" t="s">
        <v>50</v>
      </c>
      <c r="L674" s="23">
        <v>46058</v>
      </c>
      <c r="M674" s="11"/>
      <c r="N674" s="9" t="s">
        <v>929</v>
      </c>
      <c r="O674" s="11" t="s">
        <v>31</v>
      </c>
      <c r="P674" s="16" t="s">
        <v>158</v>
      </c>
      <c r="Q674" s="11" t="s">
        <v>782</v>
      </c>
    </row>
    <row r="675" spans="1:17" ht="82.5" x14ac:dyDescent="0.25">
      <c r="A675" s="13">
        <v>664</v>
      </c>
      <c r="B675" s="16" t="s">
        <v>2452</v>
      </c>
      <c r="C675" s="9">
        <v>16</v>
      </c>
      <c r="D675" s="9" t="str">
        <f t="shared" ca="1" si="13"/>
        <v>16 বছর 2 মাস 16 দিন</v>
      </c>
      <c r="E675" s="11" t="s">
        <v>2453</v>
      </c>
      <c r="F675" s="14">
        <v>31571</v>
      </c>
      <c r="G675" s="17">
        <v>46053</v>
      </c>
      <c r="H675" s="11" t="s">
        <v>2454</v>
      </c>
      <c r="I675" s="11" t="s">
        <v>588</v>
      </c>
      <c r="J675" s="11" t="s">
        <v>2455</v>
      </c>
      <c r="K675" s="11" t="s">
        <v>50</v>
      </c>
      <c r="L675" s="23">
        <v>46086</v>
      </c>
      <c r="M675" s="11"/>
      <c r="N675" s="9" t="s">
        <v>929</v>
      </c>
      <c r="O675" s="11" t="s">
        <v>100</v>
      </c>
      <c r="P675" s="9" t="s">
        <v>402</v>
      </c>
      <c r="Q675" s="11"/>
    </row>
    <row r="676" spans="1:17" ht="66" x14ac:dyDescent="0.25">
      <c r="A676" s="13">
        <v>665</v>
      </c>
      <c r="B676" s="16" t="s">
        <v>2456</v>
      </c>
      <c r="C676" s="9">
        <v>16</v>
      </c>
      <c r="D676" s="9" t="str">
        <f t="shared" ca="1" si="13"/>
        <v>16 বছর 2 মাস 16 দিন</v>
      </c>
      <c r="E676" s="11" t="s">
        <v>2457</v>
      </c>
      <c r="F676" s="14">
        <v>31572</v>
      </c>
      <c r="G676" s="17">
        <v>46053</v>
      </c>
      <c r="H676" s="11" t="s">
        <v>2458</v>
      </c>
      <c r="I676" s="11" t="s">
        <v>38</v>
      </c>
      <c r="J676" s="11" t="s">
        <v>1431</v>
      </c>
      <c r="K676" s="11" t="s">
        <v>50</v>
      </c>
      <c r="L676" s="23">
        <v>46091</v>
      </c>
      <c r="M676" s="11"/>
      <c r="N676" s="9" t="s">
        <v>929</v>
      </c>
      <c r="O676" s="11" t="s">
        <v>51</v>
      </c>
      <c r="P676" s="16" t="s">
        <v>158</v>
      </c>
      <c r="Q676" s="11" t="s">
        <v>960</v>
      </c>
    </row>
    <row r="677" spans="1:17" ht="66" x14ac:dyDescent="0.25">
      <c r="A677" s="13">
        <v>666</v>
      </c>
      <c r="B677" s="16" t="s">
        <v>2459</v>
      </c>
      <c r="C677" s="9">
        <v>17</v>
      </c>
      <c r="D677" s="9" t="str">
        <f t="shared" ca="1" si="13"/>
        <v>17 বছর 2 মাস 16 দিন</v>
      </c>
      <c r="E677" s="11" t="s">
        <v>2460</v>
      </c>
      <c r="F677" s="14">
        <v>31573</v>
      </c>
      <c r="G677" s="17">
        <v>46053</v>
      </c>
      <c r="H677" s="11" t="s">
        <v>2461</v>
      </c>
      <c r="I677" s="11" t="s">
        <v>38</v>
      </c>
      <c r="J677" s="11" t="s">
        <v>2462</v>
      </c>
      <c r="K677" s="11" t="s">
        <v>50</v>
      </c>
      <c r="L677" s="23">
        <v>46070</v>
      </c>
      <c r="M677" s="11"/>
      <c r="N677" s="9" t="s">
        <v>929</v>
      </c>
      <c r="O677" s="11" t="s">
        <v>100</v>
      </c>
      <c r="P677" s="16" t="s">
        <v>158</v>
      </c>
      <c r="Q677" s="11" t="s">
        <v>819</v>
      </c>
    </row>
    <row r="678" spans="1:17" ht="82.5" x14ac:dyDescent="0.25">
      <c r="A678" s="13">
        <v>667</v>
      </c>
      <c r="B678" s="16" t="s">
        <v>2463</v>
      </c>
      <c r="C678" s="9">
        <v>19</v>
      </c>
      <c r="D678" s="9" t="str">
        <f t="shared" ca="1" si="13"/>
        <v>19 বছর 2 মাস 16 দিন</v>
      </c>
      <c r="E678" s="11" t="s">
        <v>2464</v>
      </c>
      <c r="F678" s="14">
        <v>31574</v>
      </c>
      <c r="G678" s="17">
        <v>46053</v>
      </c>
      <c r="H678" s="11" t="s">
        <v>2465</v>
      </c>
      <c r="I678" s="11" t="s">
        <v>867</v>
      </c>
      <c r="J678" s="11" t="s">
        <v>1694</v>
      </c>
      <c r="K678" s="11" t="s">
        <v>50</v>
      </c>
      <c r="L678" s="23">
        <v>46156</v>
      </c>
      <c r="M678" s="11"/>
      <c r="N678" s="9" t="s">
        <v>2260</v>
      </c>
      <c r="O678" s="11" t="s">
        <v>110</v>
      </c>
      <c r="P678" s="9" t="s">
        <v>402</v>
      </c>
      <c r="Q678" s="11"/>
    </row>
    <row r="679" spans="1:17" ht="82.5" x14ac:dyDescent="0.25">
      <c r="A679" s="13">
        <v>668</v>
      </c>
      <c r="B679" s="16" t="s">
        <v>2466</v>
      </c>
      <c r="C679" s="9">
        <v>19</v>
      </c>
      <c r="D679" s="9" t="str">
        <f t="shared" ca="1" si="13"/>
        <v>19 বছর 2 মাস 16 দিন</v>
      </c>
      <c r="E679" s="11" t="s">
        <v>2467</v>
      </c>
      <c r="F679" s="14">
        <v>31575</v>
      </c>
      <c r="G679" s="17">
        <v>46053</v>
      </c>
      <c r="H679" s="11" t="s">
        <v>2465</v>
      </c>
      <c r="I679" s="11" t="s">
        <v>867</v>
      </c>
      <c r="J679" s="11" t="s">
        <v>1694</v>
      </c>
      <c r="K679" s="11" t="s">
        <v>50</v>
      </c>
      <c r="L679" s="23">
        <v>46156</v>
      </c>
      <c r="M679" s="11"/>
      <c r="N679" s="9" t="s">
        <v>2260</v>
      </c>
      <c r="O679" s="11" t="s">
        <v>110</v>
      </c>
      <c r="P679" s="9" t="s">
        <v>402</v>
      </c>
      <c r="Q679" s="11"/>
    </row>
    <row r="680" spans="1:17" ht="82.5" x14ac:dyDescent="0.25">
      <c r="A680" s="13">
        <v>669</v>
      </c>
      <c r="B680" s="16" t="s">
        <v>2468</v>
      </c>
      <c r="C680" s="9">
        <v>19</v>
      </c>
      <c r="D680" s="9" t="str">
        <f t="shared" ca="1" si="13"/>
        <v>19 বছর 2 মাস 16 দিন</v>
      </c>
      <c r="E680" s="11" t="s">
        <v>2467</v>
      </c>
      <c r="F680" s="14">
        <v>31576</v>
      </c>
      <c r="G680" s="17">
        <v>46053</v>
      </c>
      <c r="H680" s="11" t="s">
        <v>2465</v>
      </c>
      <c r="I680" s="11" t="s">
        <v>867</v>
      </c>
      <c r="J680" s="11" t="s">
        <v>1694</v>
      </c>
      <c r="K680" s="11" t="s">
        <v>50</v>
      </c>
      <c r="L680" s="23">
        <v>46156</v>
      </c>
      <c r="M680" s="11"/>
      <c r="N680" s="9" t="s">
        <v>2260</v>
      </c>
      <c r="O680" s="11" t="s">
        <v>51</v>
      </c>
      <c r="P680" s="9" t="s">
        <v>402</v>
      </c>
      <c r="Q680" s="11"/>
    </row>
    <row r="681" spans="1:17" ht="82.5" x14ac:dyDescent="0.25">
      <c r="A681" s="13">
        <v>670</v>
      </c>
      <c r="B681" s="16" t="s">
        <v>2469</v>
      </c>
      <c r="C681" s="9">
        <v>19</v>
      </c>
      <c r="D681" s="9" t="str">
        <f t="shared" ca="1" si="13"/>
        <v>19 বছর 2 মাস 16 দিন</v>
      </c>
      <c r="E681" s="11" t="s">
        <v>2467</v>
      </c>
      <c r="F681" s="14">
        <v>31577</v>
      </c>
      <c r="G681" s="17">
        <v>46053</v>
      </c>
      <c r="H681" s="11" t="s">
        <v>2465</v>
      </c>
      <c r="I681" s="11" t="s">
        <v>867</v>
      </c>
      <c r="J681" s="11" t="s">
        <v>1694</v>
      </c>
      <c r="K681" s="11" t="s">
        <v>50</v>
      </c>
      <c r="L681" s="23">
        <v>46156</v>
      </c>
      <c r="M681" s="11"/>
      <c r="N681" s="9" t="s">
        <v>2260</v>
      </c>
      <c r="O681" s="11" t="s">
        <v>100</v>
      </c>
      <c r="P681" s="9" t="s">
        <v>88</v>
      </c>
      <c r="Q681" s="11"/>
    </row>
    <row r="682" spans="1:17" ht="72" customHeight="1" x14ac:dyDescent="0.25">
      <c r="A682" s="13">
        <v>671</v>
      </c>
      <c r="B682" s="16" t="s">
        <v>2470</v>
      </c>
      <c r="C682" s="9">
        <v>17</v>
      </c>
      <c r="D682" s="9" t="str">
        <f t="shared" ca="1" si="13"/>
        <v>17 বছর 2 মাস 16 দিন</v>
      </c>
      <c r="E682" s="11" t="s">
        <v>2471</v>
      </c>
      <c r="F682" s="14">
        <v>31578</v>
      </c>
      <c r="G682" s="17">
        <v>46053</v>
      </c>
      <c r="H682" s="11" t="s">
        <v>2472</v>
      </c>
      <c r="I682" s="11" t="s">
        <v>196</v>
      </c>
      <c r="J682" s="11" t="s">
        <v>985</v>
      </c>
      <c r="K682" s="11" t="s">
        <v>50</v>
      </c>
      <c r="L682" s="23"/>
      <c r="M682" s="11"/>
      <c r="N682" s="9" t="s">
        <v>2260</v>
      </c>
      <c r="O682" s="11" t="s">
        <v>110</v>
      </c>
      <c r="P682" s="16" t="s">
        <v>158</v>
      </c>
      <c r="Q682" s="11" t="s">
        <v>819</v>
      </c>
    </row>
    <row r="683" spans="1:17" ht="99.75" customHeight="1" x14ac:dyDescent="0.25">
      <c r="A683" s="13">
        <v>672</v>
      </c>
      <c r="B683" s="16" t="s">
        <v>2473</v>
      </c>
      <c r="C683" s="9">
        <v>15</v>
      </c>
      <c r="D683" s="9" t="str">
        <f t="shared" ca="1" si="13"/>
        <v>15 বছর 2 মাস 16 দিন</v>
      </c>
      <c r="E683" s="11" t="s">
        <v>2474</v>
      </c>
      <c r="F683" s="14">
        <v>31579</v>
      </c>
      <c r="G683" s="17">
        <v>46053</v>
      </c>
      <c r="H683" s="11" t="s">
        <v>2475</v>
      </c>
      <c r="I683" s="11" t="s">
        <v>552</v>
      </c>
      <c r="J683" s="11" t="s">
        <v>2476</v>
      </c>
      <c r="K683" s="11" t="s">
        <v>50</v>
      </c>
      <c r="L683" s="23">
        <v>46062</v>
      </c>
      <c r="M683" s="11"/>
      <c r="N683" s="9" t="s">
        <v>2260</v>
      </c>
      <c r="O683" s="11" t="s">
        <v>31</v>
      </c>
      <c r="P683" s="16" t="s">
        <v>158</v>
      </c>
      <c r="Q683" s="11" t="s">
        <v>283</v>
      </c>
    </row>
    <row r="684" spans="1:17" ht="66" x14ac:dyDescent="0.25">
      <c r="A684" s="13">
        <v>673</v>
      </c>
      <c r="B684" s="16" t="s">
        <v>2477</v>
      </c>
      <c r="C684" s="9">
        <v>17</v>
      </c>
      <c r="D684" s="9" t="str">
        <f t="shared" ca="1" si="13"/>
        <v>17 বছর 2 মাস 15 দিন</v>
      </c>
      <c r="E684" s="11" t="s">
        <v>2478</v>
      </c>
      <c r="F684" s="14">
        <v>31580</v>
      </c>
      <c r="G684" s="17">
        <v>46054</v>
      </c>
      <c r="H684" s="11" t="s">
        <v>2479</v>
      </c>
      <c r="I684" s="11" t="s">
        <v>27</v>
      </c>
      <c r="J684" s="11" t="s">
        <v>2480</v>
      </c>
      <c r="K684" s="11" t="s">
        <v>50</v>
      </c>
      <c r="L684" s="23">
        <v>46071</v>
      </c>
      <c r="M684" s="11"/>
      <c r="N684" s="9" t="s">
        <v>2260</v>
      </c>
      <c r="O684" s="11" t="s">
        <v>110</v>
      </c>
      <c r="P684" s="9" t="s">
        <v>441</v>
      </c>
      <c r="Q684" s="11"/>
    </row>
    <row r="685" spans="1:17" ht="71.25" customHeight="1" x14ac:dyDescent="0.25">
      <c r="A685" s="13">
        <v>674</v>
      </c>
      <c r="B685" s="16" t="s">
        <v>2481</v>
      </c>
      <c r="C685" s="9">
        <v>17</v>
      </c>
      <c r="D685" s="9" t="str">
        <f t="shared" ca="1" si="13"/>
        <v>17 বছর 2 মাস 15 দিন</v>
      </c>
      <c r="E685" s="11" t="s">
        <v>2482</v>
      </c>
      <c r="F685" s="14">
        <v>31581</v>
      </c>
      <c r="G685" s="17">
        <v>46054</v>
      </c>
      <c r="H685" s="11" t="s">
        <v>2483</v>
      </c>
      <c r="I685" s="11" t="s">
        <v>196</v>
      </c>
      <c r="J685" s="11" t="s">
        <v>2484</v>
      </c>
      <c r="K685" s="11" t="s">
        <v>50</v>
      </c>
      <c r="L685" s="23">
        <v>46096</v>
      </c>
      <c r="M685" s="11"/>
      <c r="N685" s="9" t="s">
        <v>2260</v>
      </c>
      <c r="O685" s="11" t="s">
        <v>51</v>
      </c>
      <c r="P685" s="16" t="s">
        <v>158</v>
      </c>
      <c r="Q685" s="11" t="s">
        <v>169</v>
      </c>
    </row>
    <row r="686" spans="1:17" ht="72" customHeight="1" x14ac:dyDescent="0.25">
      <c r="A686" s="13">
        <v>675</v>
      </c>
      <c r="B686" s="16" t="s">
        <v>2485</v>
      </c>
      <c r="C686" s="9"/>
      <c r="D686" s="9" t="str">
        <f t="shared" ca="1" si="13"/>
        <v>0 বছর 2 মাস 15 দিন</v>
      </c>
      <c r="E686" s="11" t="s">
        <v>2486</v>
      </c>
      <c r="F686" s="14">
        <v>31582</v>
      </c>
      <c r="G686" s="17">
        <v>46054</v>
      </c>
      <c r="H686" s="11" t="s">
        <v>2487</v>
      </c>
      <c r="I686" s="11" t="s">
        <v>867</v>
      </c>
      <c r="J686" s="11" t="s">
        <v>2488</v>
      </c>
      <c r="K686" s="11" t="s">
        <v>50</v>
      </c>
      <c r="L686" s="23">
        <v>46127</v>
      </c>
      <c r="M686" s="11"/>
      <c r="N686" s="9" t="s">
        <v>2260</v>
      </c>
      <c r="O686" s="11" t="s">
        <v>31</v>
      </c>
      <c r="P686" s="11" t="s">
        <v>94</v>
      </c>
      <c r="Q686" s="11"/>
    </row>
    <row r="687" spans="1:17" ht="85.5" customHeight="1" x14ac:dyDescent="0.25">
      <c r="A687" s="13">
        <v>676</v>
      </c>
      <c r="B687" s="16" t="s">
        <v>2489</v>
      </c>
      <c r="C687" s="9">
        <v>17</v>
      </c>
      <c r="D687" s="9" t="str">
        <f t="shared" ca="1" si="13"/>
        <v>17 বছর 2 মাস 15 দিন</v>
      </c>
      <c r="E687" s="11" t="s">
        <v>2490</v>
      </c>
      <c r="F687" s="14">
        <v>31583</v>
      </c>
      <c r="G687" s="17">
        <v>46054</v>
      </c>
      <c r="H687" s="11" t="s">
        <v>2491</v>
      </c>
      <c r="I687" s="11" t="s">
        <v>27</v>
      </c>
      <c r="J687" s="11" t="s">
        <v>2492</v>
      </c>
      <c r="K687" s="11" t="s">
        <v>50</v>
      </c>
      <c r="L687" s="23">
        <v>46084</v>
      </c>
      <c r="M687" s="11"/>
      <c r="N687" s="9" t="s">
        <v>2260</v>
      </c>
      <c r="O687" s="11" t="s">
        <v>100</v>
      </c>
      <c r="P687" s="9" t="s">
        <v>441</v>
      </c>
      <c r="Q687" s="11"/>
    </row>
    <row r="688" spans="1:17" ht="66" x14ac:dyDescent="0.25">
      <c r="A688" s="13">
        <v>677</v>
      </c>
      <c r="B688" s="16" t="s">
        <v>2493</v>
      </c>
      <c r="C688" s="9">
        <v>16</v>
      </c>
      <c r="D688" s="9" t="str">
        <f t="shared" ca="1" si="13"/>
        <v>16 বছর 2 মাস 14 দিন</v>
      </c>
      <c r="E688" s="11" t="s">
        <v>2494</v>
      </c>
      <c r="F688" s="14">
        <v>31584</v>
      </c>
      <c r="G688" s="17">
        <v>46055</v>
      </c>
      <c r="H688" s="11" t="s">
        <v>2495</v>
      </c>
      <c r="I688" s="11" t="s">
        <v>265</v>
      </c>
      <c r="J688" s="11" t="s">
        <v>2462</v>
      </c>
      <c r="K688" s="11" t="s">
        <v>50</v>
      </c>
      <c r="L688" s="23">
        <v>46071</v>
      </c>
      <c r="M688" s="11"/>
      <c r="N688" s="9" t="s">
        <v>2260</v>
      </c>
      <c r="O688" s="11" t="s">
        <v>110</v>
      </c>
      <c r="P688" s="16" t="s">
        <v>158</v>
      </c>
      <c r="Q688" s="11" t="s">
        <v>1602</v>
      </c>
    </row>
    <row r="689" spans="1:17" ht="66" x14ac:dyDescent="0.25">
      <c r="A689" s="13">
        <v>678</v>
      </c>
      <c r="B689" s="16" t="s">
        <v>2496</v>
      </c>
      <c r="C689" s="9">
        <v>16</v>
      </c>
      <c r="D689" s="9" t="str">
        <f t="shared" ca="1" si="13"/>
        <v>16 বছর 2 মাস 14 দিন</v>
      </c>
      <c r="E689" s="11" t="s">
        <v>2497</v>
      </c>
      <c r="F689" s="14">
        <v>31585</v>
      </c>
      <c r="G689" s="17">
        <v>46055</v>
      </c>
      <c r="H689" s="11" t="s">
        <v>2495</v>
      </c>
      <c r="I689" s="11" t="s">
        <v>265</v>
      </c>
      <c r="J689" s="11" t="s">
        <v>2462</v>
      </c>
      <c r="K689" s="11" t="s">
        <v>50</v>
      </c>
      <c r="L689" s="23">
        <v>46071</v>
      </c>
      <c r="M689" s="11"/>
      <c r="N689" s="9" t="s">
        <v>2260</v>
      </c>
      <c r="O689" s="11" t="s">
        <v>100</v>
      </c>
      <c r="P689" s="16" t="s">
        <v>158</v>
      </c>
      <c r="Q689" s="11" t="s">
        <v>283</v>
      </c>
    </row>
    <row r="690" spans="1:17" ht="66" x14ac:dyDescent="0.25">
      <c r="A690" s="13">
        <v>679</v>
      </c>
      <c r="B690" s="16" t="s">
        <v>2498</v>
      </c>
      <c r="C690" s="9">
        <v>16</v>
      </c>
      <c r="D690" s="9" t="str">
        <f t="shared" ca="1" si="13"/>
        <v>16 বছর 2 মাস 14 দিন</v>
      </c>
      <c r="E690" s="11" t="s">
        <v>2499</v>
      </c>
      <c r="F690" s="14">
        <v>31586</v>
      </c>
      <c r="G690" s="17">
        <v>46055</v>
      </c>
      <c r="H690" s="11" t="s">
        <v>2500</v>
      </c>
      <c r="I690" s="11" t="s">
        <v>265</v>
      </c>
      <c r="J690" s="11" t="s">
        <v>2374</v>
      </c>
      <c r="K690" s="11" t="s">
        <v>50</v>
      </c>
      <c r="L690" s="23">
        <v>46124</v>
      </c>
      <c r="M690" s="11"/>
      <c r="N690" s="9" t="s">
        <v>2260</v>
      </c>
      <c r="O690" s="11" t="s">
        <v>34</v>
      </c>
      <c r="P690" s="11" t="s">
        <v>217</v>
      </c>
      <c r="Q690" s="11"/>
    </row>
    <row r="691" spans="1:17" ht="66" x14ac:dyDescent="0.25">
      <c r="A691" s="13">
        <v>680</v>
      </c>
      <c r="B691" s="16" t="s">
        <v>2501</v>
      </c>
      <c r="C691" s="9">
        <v>16</v>
      </c>
      <c r="D691" s="9" t="str">
        <f t="shared" ca="1" si="13"/>
        <v>16 বছর 2 মাস 14 দিন</v>
      </c>
      <c r="E691" s="11" t="s">
        <v>2502</v>
      </c>
      <c r="F691" s="14">
        <v>31587</v>
      </c>
      <c r="G691" s="17">
        <v>46055</v>
      </c>
      <c r="H691" s="11" t="s">
        <v>2503</v>
      </c>
      <c r="I691" s="11" t="s">
        <v>38</v>
      </c>
      <c r="J691" s="11" t="s">
        <v>2374</v>
      </c>
      <c r="K691" s="11" t="s">
        <v>50</v>
      </c>
      <c r="L691" s="23">
        <v>46121</v>
      </c>
      <c r="M691" s="11"/>
      <c r="N691" s="9" t="s">
        <v>2260</v>
      </c>
      <c r="O691" s="11" t="s">
        <v>110</v>
      </c>
      <c r="P691" s="11" t="s">
        <v>69</v>
      </c>
      <c r="Q691" s="11"/>
    </row>
    <row r="692" spans="1:17" ht="66" x14ac:dyDescent="0.25">
      <c r="A692" s="13">
        <v>681</v>
      </c>
      <c r="B692" s="16" t="s">
        <v>2504</v>
      </c>
      <c r="C692" s="9">
        <v>15</v>
      </c>
      <c r="D692" s="9" t="str">
        <f t="shared" ca="1" si="13"/>
        <v>15 বছর 2 মাস 14 দিন</v>
      </c>
      <c r="E692" s="11" t="s">
        <v>2505</v>
      </c>
      <c r="F692" s="14">
        <v>31588</v>
      </c>
      <c r="G692" s="17">
        <v>46055</v>
      </c>
      <c r="H692" s="11" t="s">
        <v>2506</v>
      </c>
      <c r="I692" s="11" t="s">
        <v>48</v>
      </c>
      <c r="J692" s="11" t="s">
        <v>1905</v>
      </c>
      <c r="K692" s="11" t="s">
        <v>50</v>
      </c>
      <c r="L692" s="23">
        <v>46079</v>
      </c>
      <c r="M692" s="11"/>
      <c r="N692" s="9" t="s">
        <v>2260</v>
      </c>
      <c r="O692" s="11" t="s">
        <v>31</v>
      </c>
      <c r="P692" s="16" t="s">
        <v>158</v>
      </c>
      <c r="Q692" s="11" t="s">
        <v>873</v>
      </c>
    </row>
    <row r="693" spans="1:17" ht="66" x14ac:dyDescent="0.25">
      <c r="A693" s="13">
        <v>682</v>
      </c>
      <c r="B693" s="16" t="s">
        <v>2507</v>
      </c>
      <c r="C693" s="9">
        <v>16</v>
      </c>
      <c r="D693" s="9" t="str">
        <f t="shared" ca="1" si="13"/>
        <v>16 বছর 2 মাস 14 দিন</v>
      </c>
      <c r="E693" s="11" t="s">
        <v>2508</v>
      </c>
      <c r="F693" s="14">
        <v>31589</v>
      </c>
      <c r="G693" s="17">
        <v>46055</v>
      </c>
      <c r="H693" s="11" t="s">
        <v>2509</v>
      </c>
      <c r="I693" s="11" t="s">
        <v>265</v>
      </c>
      <c r="J693" s="11" t="s">
        <v>2291</v>
      </c>
      <c r="K693" s="11" t="s">
        <v>50</v>
      </c>
      <c r="L693" s="23">
        <v>46121</v>
      </c>
      <c r="M693" s="11"/>
      <c r="N693" s="9" t="s">
        <v>2260</v>
      </c>
      <c r="O693" s="11" t="s">
        <v>34</v>
      </c>
      <c r="P693" s="16" t="s">
        <v>158</v>
      </c>
      <c r="Q693" s="11" t="s">
        <v>782</v>
      </c>
    </row>
    <row r="694" spans="1:17" ht="82.5" x14ac:dyDescent="0.25">
      <c r="A694" s="13">
        <v>683</v>
      </c>
      <c r="B694" s="16" t="s">
        <v>2510</v>
      </c>
      <c r="C694" s="9">
        <v>15</v>
      </c>
      <c r="D694" s="9" t="str">
        <f t="shared" ca="1" si="13"/>
        <v>15 বছর 2 মাস 14 দিন</v>
      </c>
      <c r="E694" s="11" t="s">
        <v>2511</v>
      </c>
      <c r="F694" s="14">
        <v>31590</v>
      </c>
      <c r="G694" s="17">
        <v>46055</v>
      </c>
      <c r="H694" s="11" t="s">
        <v>2512</v>
      </c>
      <c r="I694" s="11" t="s">
        <v>867</v>
      </c>
      <c r="J694" s="11" t="s">
        <v>2513</v>
      </c>
      <c r="K694" s="11" t="s">
        <v>50</v>
      </c>
      <c r="L694" s="23">
        <v>46096</v>
      </c>
      <c r="M694" s="11"/>
      <c r="N694" s="9" t="s">
        <v>2260</v>
      </c>
      <c r="O694" s="11" t="s">
        <v>31</v>
      </c>
      <c r="P694" s="9" t="s">
        <v>441</v>
      </c>
      <c r="Q694" s="11"/>
    </row>
    <row r="695" spans="1:17" ht="82.5" x14ac:dyDescent="0.25">
      <c r="A695" s="13">
        <v>684</v>
      </c>
      <c r="B695" s="16" t="s">
        <v>2514</v>
      </c>
      <c r="C695" s="9">
        <v>15</v>
      </c>
      <c r="D695" s="9" t="str">
        <f t="shared" ca="1" si="13"/>
        <v>15 বছর 2 মাস 14 দিন</v>
      </c>
      <c r="E695" s="11" t="s">
        <v>2515</v>
      </c>
      <c r="F695" s="14">
        <v>31591</v>
      </c>
      <c r="G695" s="17">
        <v>46055</v>
      </c>
      <c r="H695" s="11" t="s">
        <v>2516</v>
      </c>
      <c r="I695" s="11" t="s">
        <v>2517</v>
      </c>
      <c r="J695" s="11" t="s">
        <v>2518</v>
      </c>
      <c r="K695" s="11" t="s">
        <v>50</v>
      </c>
      <c r="L695" s="23">
        <v>46111</v>
      </c>
      <c r="M695" s="11"/>
      <c r="N695" s="9" t="s">
        <v>2260</v>
      </c>
      <c r="O695" s="11" t="s">
        <v>31</v>
      </c>
      <c r="P695" s="16" t="s">
        <v>158</v>
      </c>
      <c r="Q695" s="11" t="s">
        <v>2072</v>
      </c>
    </row>
    <row r="696" spans="1:17" ht="66" x14ac:dyDescent="0.25">
      <c r="A696" s="13">
        <v>685</v>
      </c>
      <c r="B696" s="16" t="s">
        <v>2519</v>
      </c>
      <c r="C696" s="9">
        <v>16</v>
      </c>
      <c r="D696" s="9" t="str">
        <f t="shared" ca="1" si="13"/>
        <v>16 বছর 2 মাস 14 দিন</v>
      </c>
      <c r="E696" s="11" t="s">
        <v>2520</v>
      </c>
      <c r="F696" s="14">
        <v>31592</v>
      </c>
      <c r="G696" s="17">
        <v>46055</v>
      </c>
      <c r="H696" s="11" t="s">
        <v>2521</v>
      </c>
      <c r="I696" s="11" t="s">
        <v>48</v>
      </c>
      <c r="J696" s="11" t="s">
        <v>1711</v>
      </c>
      <c r="K696" s="11" t="s">
        <v>50</v>
      </c>
      <c r="L696" s="23">
        <v>46090</v>
      </c>
      <c r="M696" s="11"/>
      <c r="N696" s="9" t="s">
        <v>2260</v>
      </c>
      <c r="O696" s="11" t="s">
        <v>51</v>
      </c>
      <c r="P696" s="11" t="s">
        <v>192</v>
      </c>
      <c r="Q696" s="11"/>
    </row>
    <row r="697" spans="1:17" ht="66" x14ac:dyDescent="0.25">
      <c r="A697" s="13">
        <v>686</v>
      </c>
      <c r="B697" s="16" t="s">
        <v>2522</v>
      </c>
      <c r="C697" s="9">
        <v>17</v>
      </c>
      <c r="D697" s="9" t="str">
        <f t="shared" ca="1" si="13"/>
        <v>17 বছর 2 মাস 13 দিন</v>
      </c>
      <c r="E697" s="11" t="s">
        <v>2523</v>
      </c>
      <c r="F697" s="14">
        <v>31593</v>
      </c>
      <c r="G697" s="17">
        <v>46056</v>
      </c>
      <c r="H697" s="11" t="s">
        <v>2524</v>
      </c>
      <c r="I697" s="11" t="s">
        <v>27</v>
      </c>
      <c r="J697" s="11" t="s">
        <v>2005</v>
      </c>
      <c r="K697" s="11" t="s">
        <v>50</v>
      </c>
      <c r="L697" s="23">
        <v>46093</v>
      </c>
      <c r="M697" s="11"/>
      <c r="N697" s="9" t="s">
        <v>2260</v>
      </c>
      <c r="O697" s="11" t="s">
        <v>110</v>
      </c>
      <c r="P697" s="11" t="s">
        <v>94</v>
      </c>
      <c r="Q697" s="11"/>
    </row>
    <row r="698" spans="1:17" ht="66" x14ac:dyDescent="0.25">
      <c r="A698" s="13">
        <v>687</v>
      </c>
      <c r="B698" s="16" t="s">
        <v>2525</v>
      </c>
      <c r="C698" s="9">
        <v>16</v>
      </c>
      <c r="D698" s="9" t="str">
        <f t="shared" ca="1" si="13"/>
        <v>16 বছর 2 মাস 13 দিন</v>
      </c>
      <c r="E698" s="11" t="s">
        <v>2526</v>
      </c>
      <c r="F698" s="14">
        <v>31594</v>
      </c>
      <c r="G698" s="17">
        <v>46056</v>
      </c>
      <c r="H698" s="11" t="s">
        <v>2527</v>
      </c>
      <c r="I698" s="11" t="s">
        <v>265</v>
      </c>
      <c r="J698" s="11" t="s">
        <v>1431</v>
      </c>
      <c r="K698" s="11" t="s">
        <v>50</v>
      </c>
      <c r="L698" s="23">
        <v>46110</v>
      </c>
      <c r="M698" s="11"/>
      <c r="N698" s="9" t="s">
        <v>2260</v>
      </c>
      <c r="O698" s="11" t="s">
        <v>51</v>
      </c>
      <c r="P698" s="11" t="s">
        <v>69</v>
      </c>
      <c r="Q698" s="11"/>
    </row>
    <row r="699" spans="1:17" ht="66" x14ac:dyDescent="0.25">
      <c r="A699" s="13">
        <v>688</v>
      </c>
      <c r="B699" s="16" t="s">
        <v>2528</v>
      </c>
      <c r="C699" s="9">
        <v>16</v>
      </c>
      <c r="D699" s="9" t="str">
        <f t="shared" ca="1" si="13"/>
        <v>16 বছর 2 মাস 13 দিন</v>
      </c>
      <c r="E699" s="11" t="s">
        <v>2529</v>
      </c>
      <c r="F699" s="14">
        <v>31595</v>
      </c>
      <c r="G699" s="17">
        <v>46056</v>
      </c>
      <c r="H699" s="11" t="s">
        <v>2530</v>
      </c>
      <c r="I699" s="11" t="s">
        <v>27</v>
      </c>
      <c r="J699" s="11" t="s">
        <v>1449</v>
      </c>
      <c r="K699" s="11" t="s">
        <v>50</v>
      </c>
      <c r="L699" s="23">
        <v>46076</v>
      </c>
      <c r="M699" s="11"/>
      <c r="N699" s="9" t="s">
        <v>2260</v>
      </c>
      <c r="O699" s="11" t="s">
        <v>34</v>
      </c>
      <c r="P699" s="16" t="s">
        <v>158</v>
      </c>
      <c r="Q699" s="11" t="s">
        <v>782</v>
      </c>
    </row>
    <row r="700" spans="1:17" ht="66" x14ac:dyDescent="0.25">
      <c r="A700" s="13">
        <v>689</v>
      </c>
      <c r="B700" s="16" t="s">
        <v>2531</v>
      </c>
      <c r="C700" s="9">
        <v>16</v>
      </c>
      <c r="D700" s="9" t="str">
        <f t="shared" ref="D700:D763" ca="1" si="14">C700+DATEDIF(G700,TODAY(),"y")&amp;" "&amp;"বছর"&amp;" "&amp;DATEDIF(G700,TODAY(),"ym")&amp;" "&amp;"মাস"&amp;" "&amp;DATEDIF(G700,TODAY(),"md")&amp;" "&amp;"দিন"</f>
        <v>16 বছর 2 মাস 13 দিন</v>
      </c>
      <c r="E700" s="11" t="s">
        <v>2532</v>
      </c>
      <c r="F700" s="14">
        <v>31596</v>
      </c>
      <c r="G700" s="17">
        <v>46056</v>
      </c>
      <c r="H700" s="11" t="s">
        <v>2533</v>
      </c>
      <c r="I700" s="11" t="s">
        <v>265</v>
      </c>
      <c r="J700" s="11" t="s">
        <v>1449</v>
      </c>
      <c r="K700" s="11" t="s">
        <v>50</v>
      </c>
      <c r="L700" s="23" t="s">
        <v>2534</v>
      </c>
      <c r="M700" s="11"/>
      <c r="N700" s="9" t="s">
        <v>2260</v>
      </c>
      <c r="O700" s="11" t="s">
        <v>51</v>
      </c>
      <c r="P700" s="11" t="s">
        <v>69</v>
      </c>
      <c r="Q700" s="11"/>
    </row>
    <row r="701" spans="1:17" ht="66" x14ac:dyDescent="0.25">
      <c r="A701" s="13">
        <v>690</v>
      </c>
      <c r="B701" s="16" t="s">
        <v>2535</v>
      </c>
      <c r="C701" s="9">
        <v>15</v>
      </c>
      <c r="D701" s="9" t="str">
        <f t="shared" ca="1" si="14"/>
        <v>15 বছর 2 মাস 13 দিন</v>
      </c>
      <c r="E701" s="11" t="s">
        <v>2536</v>
      </c>
      <c r="F701" s="14">
        <v>31597</v>
      </c>
      <c r="G701" s="17">
        <v>46056</v>
      </c>
      <c r="H701" s="11" t="s">
        <v>2537</v>
      </c>
      <c r="I701" s="11"/>
      <c r="J701" s="11" t="s">
        <v>2538</v>
      </c>
      <c r="K701" s="11" t="s">
        <v>50</v>
      </c>
      <c r="L701" s="23">
        <v>46070</v>
      </c>
      <c r="M701" s="11"/>
      <c r="N701" s="9" t="s">
        <v>2260</v>
      </c>
      <c r="O701" s="11" t="s">
        <v>31</v>
      </c>
      <c r="P701" s="16" t="s">
        <v>158</v>
      </c>
      <c r="Q701" s="11" t="s">
        <v>930</v>
      </c>
    </row>
    <row r="702" spans="1:17" ht="66" x14ac:dyDescent="0.25">
      <c r="A702" s="13">
        <v>691</v>
      </c>
      <c r="B702" s="16" t="s">
        <v>2539</v>
      </c>
      <c r="C702" s="9"/>
      <c r="D702" s="9" t="str">
        <f t="shared" ca="1" si="14"/>
        <v>0 বছর 2 মাস 13 দিন</v>
      </c>
      <c r="E702" s="11" t="s">
        <v>2540</v>
      </c>
      <c r="F702" s="14">
        <v>31598</v>
      </c>
      <c r="G702" s="17">
        <v>46056</v>
      </c>
      <c r="H702" s="11" t="s">
        <v>2541</v>
      </c>
      <c r="I702" s="11" t="s">
        <v>27</v>
      </c>
      <c r="J702" s="11" t="s">
        <v>2542</v>
      </c>
      <c r="K702" s="11" t="s">
        <v>50</v>
      </c>
      <c r="L702" s="23">
        <v>46077</v>
      </c>
      <c r="M702" s="11"/>
      <c r="N702" s="9" t="s">
        <v>2260</v>
      </c>
      <c r="O702" s="11" t="s">
        <v>31</v>
      </c>
      <c r="P702" s="11" t="s">
        <v>217</v>
      </c>
      <c r="Q702" s="11"/>
    </row>
    <row r="703" spans="1:17" ht="66" x14ac:dyDescent="0.25">
      <c r="A703" s="13">
        <v>692</v>
      </c>
      <c r="B703" s="16" t="s">
        <v>2543</v>
      </c>
      <c r="C703" s="9"/>
      <c r="D703" s="9" t="str">
        <f t="shared" ca="1" si="14"/>
        <v>0 বছর 2 মাস 13 দিন</v>
      </c>
      <c r="E703" s="11" t="s">
        <v>2540</v>
      </c>
      <c r="F703" s="14">
        <v>31599</v>
      </c>
      <c r="G703" s="17">
        <v>46056</v>
      </c>
      <c r="H703" s="11" t="s">
        <v>2541</v>
      </c>
      <c r="I703" s="11" t="s">
        <v>27</v>
      </c>
      <c r="J703" s="11" t="s">
        <v>2542</v>
      </c>
      <c r="K703" s="11" t="s">
        <v>50</v>
      </c>
      <c r="L703" s="23">
        <v>46077</v>
      </c>
      <c r="M703" s="11"/>
      <c r="N703" s="9" t="s">
        <v>2260</v>
      </c>
      <c r="O703" s="11" t="s">
        <v>31</v>
      </c>
      <c r="P703" s="9" t="s">
        <v>441</v>
      </c>
      <c r="Q703" s="11"/>
    </row>
    <row r="704" spans="1:17" ht="66" x14ac:dyDescent="0.25">
      <c r="A704" s="13">
        <v>693</v>
      </c>
      <c r="B704" s="16" t="s">
        <v>2544</v>
      </c>
      <c r="C704" s="9">
        <v>16</v>
      </c>
      <c r="D704" s="9" t="str">
        <f t="shared" ca="1" si="14"/>
        <v>16 বছর 2 মাস 13 দিন</v>
      </c>
      <c r="E704" s="11" t="s">
        <v>2545</v>
      </c>
      <c r="F704" s="14">
        <v>31600</v>
      </c>
      <c r="G704" s="17">
        <v>46056</v>
      </c>
      <c r="H704" s="11" t="s">
        <v>2546</v>
      </c>
      <c r="I704" s="11" t="s">
        <v>27</v>
      </c>
      <c r="J704" s="11" t="s">
        <v>1221</v>
      </c>
      <c r="K704" s="11" t="s">
        <v>50</v>
      </c>
      <c r="L704" s="23">
        <v>46097</v>
      </c>
      <c r="M704" s="11"/>
      <c r="N704" s="9" t="s">
        <v>2260</v>
      </c>
      <c r="O704" s="11" t="s">
        <v>110</v>
      </c>
      <c r="P704" s="11" t="s">
        <v>88</v>
      </c>
      <c r="Q704" s="11"/>
    </row>
    <row r="705" spans="1:17" ht="66" x14ac:dyDescent="0.25">
      <c r="A705" s="13">
        <v>694</v>
      </c>
      <c r="B705" s="16" t="s">
        <v>2547</v>
      </c>
      <c r="C705" s="9">
        <v>14</v>
      </c>
      <c r="D705" s="9" t="str">
        <f t="shared" ca="1" si="14"/>
        <v>14 বছর 2 মাস 13 দিন</v>
      </c>
      <c r="E705" s="11" t="s">
        <v>2548</v>
      </c>
      <c r="F705" s="14">
        <v>31601</v>
      </c>
      <c r="G705" s="17">
        <v>46056</v>
      </c>
      <c r="H705" s="11" t="s">
        <v>2549</v>
      </c>
      <c r="I705" s="11"/>
      <c r="J705" s="11" t="s">
        <v>872</v>
      </c>
      <c r="K705" s="11" t="s">
        <v>50</v>
      </c>
      <c r="L705" s="23">
        <v>46089</v>
      </c>
      <c r="M705" s="11"/>
      <c r="N705" s="9" t="s">
        <v>2260</v>
      </c>
      <c r="O705" s="11" t="s">
        <v>31</v>
      </c>
      <c r="P705" s="11" t="s">
        <v>57</v>
      </c>
      <c r="Q705" s="11"/>
    </row>
    <row r="706" spans="1:17" ht="66" x14ac:dyDescent="0.25">
      <c r="A706" s="13">
        <v>695</v>
      </c>
      <c r="B706" s="16" t="s">
        <v>2550</v>
      </c>
      <c r="C706" s="9">
        <v>14</v>
      </c>
      <c r="D706" s="9" t="str">
        <f t="shared" ca="1" si="14"/>
        <v>14 বছর 2 মাস 13 দিন</v>
      </c>
      <c r="E706" s="11" t="s">
        <v>2551</v>
      </c>
      <c r="F706" s="14">
        <v>31602</v>
      </c>
      <c r="G706" s="17">
        <v>46056</v>
      </c>
      <c r="H706" s="11" t="s">
        <v>2552</v>
      </c>
      <c r="I706" s="11" t="s">
        <v>27</v>
      </c>
      <c r="J706" s="11" t="s">
        <v>1637</v>
      </c>
      <c r="K706" s="11" t="s">
        <v>50</v>
      </c>
      <c r="L706" s="23">
        <v>46121</v>
      </c>
      <c r="M706" s="11"/>
      <c r="N706" s="9" t="s">
        <v>2260</v>
      </c>
      <c r="O706" s="11" t="s">
        <v>31</v>
      </c>
      <c r="P706" s="16" t="s">
        <v>158</v>
      </c>
      <c r="Q706" s="11" t="s">
        <v>1787</v>
      </c>
    </row>
    <row r="707" spans="1:17" ht="66" x14ac:dyDescent="0.25">
      <c r="A707" s="13">
        <v>696</v>
      </c>
      <c r="B707" s="16" t="s">
        <v>2553</v>
      </c>
      <c r="C707" s="9">
        <v>16</v>
      </c>
      <c r="D707" s="9" t="str">
        <f t="shared" ca="1" si="14"/>
        <v>16 বছর 2 মাস 13 দিন</v>
      </c>
      <c r="E707" s="11" t="s">
        <v>2554</v>
      </c>
      <c r="F707" s="14">
        <v>31603</v>
      </c>
      <c r="G707" s="17">
        <v>46056</v>
      </c>
      <c r="H707" s="11" t="s">
        <v>2555</v>
      </c>
      <c r="I707" s="11" t="s">
        <v>265</v>
      </c>
      <c r="J707" s="11" t="s">
        <v>1637</v>
      </c>
      <c r="K707" s="11" t="s">
        <v>50</v>
      </c>
      <c r="L707" s="23">
        <v>46108</v>
      </c>
      <c r="M707" s="11"/>
      <c r="N707" s="9" t="s">
        <v>2260</v>
      </c>
      <c r="O707" s="11" t="s">
        <v>51</v>
      </c>
      <c r="P707" s="11" t="s">
        <v>57</v>
      </c>
      <c r="Q707" s="11"/>
    </row>
    <row r="708" spans="1:17" ht="66" x14ac:dyDescent="0.25">
      <c r="A708" s="13">
        <v>697</v>
      </c>
      <c r="B708" s="16" t="s">
        <v>2556</v>
      </c>
      <c r="C708" s="9">
        <v>16</v>
      </c>
      <c r="D708" s="9" t="str">
        <f t="shared" ca="1" si="14"/>
        <v>16 বছর 2 মাস 13 দিন</v>
      </c>
      <c r="E708" s="11" t="s">
        <v>2557</v>
      </c>
      <c r="F708" s="14">
        <v>31604</v>
      </c>
      <c r="G708" s="17">
        <v>46056</v>
      </c>
      <c r="H708" s="11" t="s">
        <v>2558</v>
      </c>
      <c r="I708" s="11" t="s">
        <v>843</v>
      </c>
      <c r="J708" s="11" t="s">
        <v>1013</v>
      </c>
      <c r="K708" s="11" t="s">
        <v>50</v>
      </c>
      <c r="L708" s="23">
        <v>46092</v>
      </c>
      <c r="M708" s="11"/>
      <c r="N708" s="9" t="s">
        <v>2260</v>
      </c>
      <c r="O708" s="11" t="s">
        <v>34</v>
      </c>
      <c r="P708" s="16" t="s">
        <v>158</v>
      </c>
      <c r="Q708" s="11" t="s">
        <v>1746</v>
      </c>
    </row>
    <row r="709" spans="1:17" ht="66" x14ac:dyDescent="0.25">
      <c r="A709" s="13">
        <v>698</v>
      </c>
      <c r="B709" s="16" t="s">
        <v>2559</v>
      </c>
      <c r="C709" s="9">
        <v>16</v>
      </c>
      <c r="D709" s="9" t="str">
        <f t="shared" ca="1" si="14"/>
        <v>16 বছর 2 মাস 13 দিন</v>
      </c>
      <c r="E709" s="11" t="s">
        <v>2560</v>
      </c>
      <c r="F709" s="14">
        <v>31605</v>
      </c>
      <c r="G709" s="17">
        <v>46056</v>
      </c>
      <c r="H709" s="11" t="s">
        <v>2561</v>
      </c>
      <c r="I709" s="11" t="s">
        <v>48</v>
      </c>
      <c r="J709" s="11" t="s">
        <v>2562</v>
      </c>
      <c r="K709" s="11" t="s">
        <v>50</v>
      </c>
      <c r="L709" s="23">
        <v>46071</v>
      </c>
      <c r="M709" s="11"/>
      <c r="N709" s="9" t="s">
        <v>2260</v>
      </c>
      <c r="O709" s="11" t="s">
        <v>100</v>
      </c>
      <c r="P709" s="11" t="s">
        <v>94</v>
      </c>
      <c r="Q709" s="11"/>
    </row>
    <row r="710" spans="1:17" ht="99" x14ac:dyDescent="0.25">
      <c r="A710" s="13">
        <v>699</v>
      </c>
      <c r="B710" s="16" t="s">
        <v>2563</v>
      </c>
      <c r="C710" s="9">
        <v>17</v>
      </c>
      <c r="D710" s="9" t="str">
        <f t="shared" ca="1" si="14"/>
        <v>17 বছর 2 মাস 13 দিন</v>
      </c>
      <c r="E710" s="11" t="s">
        <v>2564</v>
      </c>
      <c r="F710" s="14">
        <v>31606</v>
      </c>
      <c r="G710" s="17">
        <v>46056</v>
      </c>
      <c r="H710" s="11" t="s">
        <v>2565</v>
      </c>
      <c r="I710" s="11" t="s">
        <v>265</v>
      </c>
      <c r="J710" s="11" t="s">
        <v>2566</v>
      </c>
      <c r="K710" s="11" t="s">
        <v>50</v>
      </c>
      <c r="L710" s="23">
        <v>46047</v>
      </c>
      <c r="M710" s="11"/>
      <c r="N710" s="9" t="s">
        <v>2260</v>
      </c>
      <c r="O710" s="11" t="s">
        <v>51</v>
      </c>
      <c r="P710" s="16" t="s">
        <v>158</v>
      </c>
      <c r="Q710" s="11" t="s">
        <v>819</v>
      </c>
    </row>
    <row r="711" spans="1:17" ht="66" x14ac:dyDescent="0.25">
      <c r="A711" s="13">
        <v>700</v>
      </c>
      <c r="B711" s="16" t="s">
        <v>2567</v>
      </c>
      <c r="C711" s="9">
        <v>17</v>
      </c>
      <c r="D711" s="9" t="str">
        <f t="shared" ca="1" si="14"/>
        <v>17 বছর 2 মাস 13 দিন</v>
      </c>
      <c r="E711" s="11" t="s">
        <v>2568</v>
      </c>
      <c r="F711" s="14">
        <v>31607</v>
      </c>
      <c r="G711" s="17">
        <v>46056</v>
      </c>
      <c r="H711" s="11" t="s">
        <v>2569</v>
      </c>
      <c r="I711" s="11" t="s">
        <v>27</v>
      </c>
      <c r="J711" s="11" t="s">
        <v>2570</v>
      </c>
      <c r="K711" s="11" t="s">
        <v>50</v>
      </c>
      <c r="L711" s="23">
        <v>46079</v>
      </c>
      <c r="M711" s="11"/>
      <c r="N711" s="9" t="s">
        <v>2260</v>
      </c>
      <c r="O711" s="11" t="s">
        <v>110</v>
      </c>
      <c r="P711" s="11" t="s">
        <v>217</v>
      </c>
      <c r="Q711" s="11"/>
    </row>
    <row r="712" spans="1:17" ht="66" x14ac:dyDescent="0.25">
      <c r="A712" s="13">
        <v>701</v>
      </c>
      <c r="B712" s="16" t="s">
        <v>2571</v>
      </c>
      <c r="C712" s="9">
        <v>16</v>
      </c>
      <c r="D712" s="9" t="str">
        <f t="shared" ca="1" si="14"/>
        <v>16 বছর 2 মাস 12 দিন</v>
      </c>
      <c r="E712" s="11" t="s">
        <v>2572</v>
      </c>
      <c r="F712" s="14">
        <v>31608</v>
      </c>
      <c r="G712" s="17">
        <v>46057</v>
      </c>
      <c r="H712" s="11" t="s">
        <v>2573</v>
      </c>
      <c r="I712" s="11" t="s">
        <v>265</v>
      </c>
      <c r="J712" s="11" t="s">
        <v>2574</v>
      </c>
      <c r="K712" s="11" t="s">
        <v>50</v>
      </c>
      <c r="L712" s="23">
        <v>46117</v>
      </c>
      <c r="M712" s="11"/>
      <c r="N712" s="9" t="s">
        <v>2260</v>
      </c>
      <c r="O712" s="11" t="s">
        <v>51</v>
      </c>
      <c r="P712" s="11" t="s">
        <v>57</v>
      </c>
      <c r="Q712" s="11"/>
    </row>
    <row r="713" spans="1:17" ht="66" x14ac:dyDescent="0.25">
      <c r="A713" s="13">
        <v>702</v>
      </c>
      <c r="B713" s="16" t="s">
        <v>2575</v>
      </c>
      <c r="C713" s="9">
        <v>15</v>
      </c>
      <c r="D713" s="9" t="str">
        <f t="shared" ca="1" si="14"/>
        <v>15 বছর 2 মাস 12 দিন</v>
      </c>
      <c r="E713" s="11" t="s">
        <v>2576</v>
      </c>
      <c r="F713" s="14">
        <v>31609</v>
      </c>
      <c r="G713" s="17">
        <v>46057</v>
      </c>
      <c r="H713" s="11" t="s">
        <v>2577</v>
      </c>
      <c r="I713" s="11" t="s">
        <v>48</v>
      </c>
      <c r="J713" s="11" t="s">
        <v>1943</v>
      </c>
      <c r="K713" s="11" t="s">
        <v>50</v>
      </c>
      <c r="L713" s="23">
        <v>46128</v>
      </c>
      <c r="M713" s="11"/>
      <c r="N713" s="9" t="s">
        <v>2260</v>
      </c>
      <c r="O713" s="11" t="s">
        <v>31</v>
      </c>
      <c r="P713" s="11" t="s">
        <v>88</v>
      </c>
      <c r="Q713" s="11"/>
    </row>
    <row r="714" spans="1:17" ht="66" x14ac:dyDescent="0.25">
      <c r="A714" s="13">
        <v>703</v>
      </c>
      <c r="B714" s="16" t="s">
        <v>2578</v>
      </c>
      <c r="C714" s="9">
        <v>16</v>
      </c>
      <c r="D714" s="9" t="str">
        <f t="shared" ca="1" si="14"/>
        <v>16 বছর 2 মাস 12 দিন</v>
      </c>
      <c r="E714" s="11" t="s">
        <v>2579</v>
      </c>
      <c r="F714" s="14">
        <v>31610</v>
      </c>
      <c r="G714" s="17">
        <v>46057</v>
      </c>
      <c r="H714" s="11" t="s">
        <v>2580</v>
      </c>
      <c r="I714" s="11" t="s">
        <v>48</v>
      </c>
      <c r="J714" s="11" t="s">
        <v>2581</v>
      </c>
      <c r="K714" s="11" t="s">
        <v>50</v>
      </c>
      <c r="L714" s="23">
        <v>46056</v>
      </c>
      <c r="M714" s="11"/>
      <c r="N714" s="9" t="s">
        <v>2260</v>
      </c>
      <c r="O714" s="11" t="s">
        <v>34</v>
      </c>
      <c r="P714" s="11" t="s">
        <v>192</v>
      </c>
      <c r="Q714" s="11"/>
    </row>
    <row r="715" spans="1:17" ht="66" x14ac:dyDescent="0.25">
      <c r="A715" s="13">
        <v>704</v>
      </c>
      <c r="B715" s="16" t="s">
        <v>2582</v>
      </c>
      <c r="C715" s="9">
        <v>15</v>
      </c>
      <c r="D715" s="9" t="str">
        <f t="shared" ca="1" si="14"/>
        <v>15 বছর 2 মাস 12 দিন</v>
      </c>
      <c r="E715" s="11" t="s">
        <v>2579</v>
      </c>
      <c r="F715" s="14">
        <v>31611</v>
      </c>
      <c r="G715" s="17">
        <v>46057</v>
      </c>
      <c r="H715" s="11" t="s">
        <v>2580</v>
      </c>
      <c r="I715" s="11" t="s">
        <v>48</v>
      </c>
      <c r="J715" s="11" t="s">
        <v>2581</v>
      </c>
      <c r="K715" s="11" t="s">
        <v>50</v>
      </c>
      <c r="L715" s="23">
        <v>46056</v>
      </c>
      <c r="M715" s="11"/>
      <c r="N715" s="9" t="s">
        <v>2260</v>
      </c>
      <c r="O715" s="11" t="s">
        <v>31</v>
      </c>
      <c r="P715" s="11" t="s">
        <v>94</v>
      </c>
      <c r="Q715" s="11"/>
    </row>
    <row r="716" spans="1:17" ht="66" x14ac:dyDescent="0.25">
      <c r="A716" s="13">
        <v>705</v>
      </c>
      <c r="B716" s="16" t="s">
        <v>2583</v>
      </c>
      <c r="C716" s="9">
        <v>14</v>
      </c>
      <c r="D716" s="9" t="str">
        <f t="shared" ca="1" si="14"/>
        <v>14 বছর 2 মাস 12 দিন</v>
      </c>
      <c r="E716" s="11" t="s">
        <v>2579</v>
      </c>
      <c r="F716" s="14">
        <v>31612</v>
      </c>
      <c r="G716" s="17">
        <v>46057</v>
      </c>
      <c r="H716" s="11" t="s">
        <v>2580</v>
      </c>
      <c r="I716" s="11" t="s">
        <v>48</v>
      </c>
      <c r="J716" s="11" t="s">
        <v>2581</v>
      </c>
      <c r="K716" s="11" t="s">
        <v>50</v>
      </c>
      <c r="L716" s="23">
        <v>46056</v>
      </c>
      <c r="M716" s="11"/>
      <c r="N716" s="9" t="s">
        <v>2260</v>
      </c>
      <c r="O716" s="11" t="s">
        <v>31</v>
      </c>
      <c r="P716" s="9" t="s">
        <v>441</v>
      </c>
      <c r="Q716" s="11"/>
    </row>
    <row r="717" spans="1:17" ht="66" x14ac:dyDescent="0.25">
      <c r="A717" s="13">
        <v>706</v>
      </c>
      <c r="B717" s="16" t="s">
        <v>2584</v>
      </c>
      <c r="C717" s="9">
        <v>17</v>
      </c>
      <c r="D717" s="9" t="str">
        <f t="shared" ca="1" si="14"/>
        <v>17 বছর 2 মাস 12 দিন</v>
      </c>
      <c r="E717" s="11" t="s">
        <v>2585</v>
      </c>
      <c r="F717" s="14">
        <v>31613</v>
      </c>
      <c r="G717" s="17">
        <v>46057</v>
      </c>
      <c r="H717" s="11" t="s">
        <v>2586</v>
      </c>
      <c r="I717" s="11" t="s">
        <v>552</v>
      </c>
      <c r="J717" s="11" t="s">
        <v>1350</v>
      </c>
      <c r="K717" s="11" t="s">
        <v>50</v>
      </c>
      <c r="L717" s="23"/>
      <c r="M717" s="11"/>
      <c r="N717" s="9" t="s">
        <v>2260</v>
      </c>
      <c r="O717" s="11" t="s">
        <v>100</v>
      </c>
      <c r="P717" s="16" t="s">
        <v>158</v>
      </c>
      <c r="Q717" s="11" t="s">
        <v>873</v>
      </c>
    </row>
    <row r="718" spans="1:17" ht="66" x14ac:dyDescent="0.25">
      <c r="A718" s="13">
        <v>707</v>
      </c>
      <c r="B718" s="16" t="s">
        <v>2587</v>
      </c>
      <c r="C718" s="9">
        <v>17</v>
      </c>
      <c r="D718" s="9" t="str">
        <f t="shared" ca="1" si="14"/>
        <v>17 বছর 2 মাস 12 দিন</v>
      </c>
      <c r="E718" s="11" t="s">
        <v>2588</v>
      </c>
      <c r="F718" s="14">
        <v>31614</v>
      </c>
      <c r="G718" s="17">
        <v>46057</v>
      </c>
      <c r="H718" s="11" t="s">
        <v>2589</v>
      </c>
      <c r="I718" s="11" t="s">
        <v>38</v>
      </c>
      <c r="J718" s="11" t="s">
        <v>1350</v>
      </c>
      <c r="K718" s="11" t="s">
        <v>50</v>
      </c>
      <c r="L718" s="23"/>
      <c r="M718" s="11"/>
      <c r="N718" s="9" t="s">
        <v>2260</v>
      </c>
      <c r="O718" s="11" t="s">
        <v>51</v>
      </c>
      <c r="P718" s="16" t="s">
        <v>158</v>
      </c>
      <c r="Q718" s="11" t="s">
        <v>930</v>
      </c>
    </row>
    <row r="719" spans="1:17" ht="66" x14ac:dyDescent="0.25">
      <c r="A719" s="13">
        <v>708</v>
      </c>
      <c r="B719" s="16" t="s">
        <v>2590</v>
      </c>
      <c r="C719" s="9"/>
      <c r="D719" s="9" t="str">
        <f t="shared" ca="1" si="14"/>
        <v>0 বছর 2 মাস 12 দিন</v>
      </c>
      <c r="E719" s="11" t="s">
        <v>2591</v>
      </c>
      <c r="F719" s="14">
        <v>31615</v>
      </c>
      <c r="G719" s="17">
        <v>46057</v>
      </c>
      <c r="H719" s="11" t="s">
        <v>2592</v>
      </c>
      <c r="I719" s="11" t="s">
        <v>38</v>
      </c>
      <c r="J719" s="11" t="s">
        <v>1435</v>
      </c>
      <c r="K719" s="11" t="s">
        <v>50</v>
      </c>
      <c r="L719" s="23">
        <v>46045</v>
      </c>
      <c r="M719" s="11"/>
      <c r="N719" s="9" t="s">
        <v>2260</v>
      </c>
      <c r="O719" s="11" t="s">
        <v>31</v>
      </c>
      <c r="P719" s="16" t="s">
        <v>158</v>
      </c>
      <c r="Q719" s="11" t="s">
        <v>930</v>
      </c>
    </row>
    <row r="720" spans="1:17" ht="66" x14ac:dyDescent="0.25">
      <c r="A720" s="13">
        <v>709</v>
      </c>
      <c r="B720" s="16" t="s">
        <v>2593</v>
      </c>
      <c r="C720" s="9"/>
      <c r="D720" s="9" t="str">
        <f t="shared" ca="1" si="14"/>
        <v>0 বছর 2 মাস 12 দিন</v>
      </c>
      <c r="E720" s="11" t="s">
        <v>2594</v>
      </c>
      <c r="F720" s="14">
        <v>31616</v>
      </c>
      <c r="G720" s="17">
        <v>46057</v>
      </c>
      <c r="H720" s="11" t="s">
        <v>2595</v>
      </c>
      <c r="I720" s="11" t="s">
        <v>48</v>
      </c>
      <c r="J720" s="11" t="s">
        <v>2278</v>
      </c>
      <c r="K720" s="11" t="s">
        <v>50</v>
      </c>
      <c r="L720" s="23"/>
      <c r="M720" s="11"/>
      <c r="N720" s="9" t="s">
        <v>2260</v>
      </c>
      <c r="O720" s="11" t="s">
        <v>31</v>
      </c>
      <c r="P720" s="11" t="s">
        <v>88</v>
      </c>
      <c r="Q720" s="11"/>
    </row>
    <row r="721" spans="1:17" ht="66" x14ac:dyDescent="0.25">
      <c r="A721" s="13">
        <v>710</v>
      </c>
      <c r="B721" s="16" t="s">
        <v>2596</v>
      </c>
      <c r="C721" s="9">
        <v>17</v>
      </c>
      <c r="D721" s="9" t="str">
        <f t="shared" ca="1" si="14"/>
        <v>17 বছর 2 মাস 12 দিন</v>
      </c>
      <c r="E721" s="11" t="s">
        <v>2597</v>
      </c>
      <c r="F721" s="14">
        <v>31617</v>
      </c>
      <c r="G721" s="17">
        <v>46057</v>
      </c>
      <c r="H721" s="11" t="s">
        <v>2598</v>
      </c>
      <c r="I721" s="11" t="s">
        <v>196</v>
      </c>
      <c r="J721" s="11" t="s">
        <v>2599</v>
      </c>
      <c r="K721" s="11" t="s">
        <v>50</v>
      </c>
      <c r="L721" s="23">
        <v>46082</v>
      </c>
      <c r="M721" s="11"/>
      <c r="N721" s="9" t="s">
        <v>2260</v>
      </c>
      <c r="O721" s="11" t="s">
        <v>100</v>
      </c>
      <c r="P721" s="16" t="s">
        <v>158</v>
      </c>
      <c r="Q721" s="11" t="s">
        <v>831</v>
      </c>
    </row>
    <row r="722" spans="1:17" ht="66" x14ac:dyDescent="0.25">
      <c r="A722" s="13">
        <v>711</v>
      </c>
      <c r="B722" s="16" t="s">
        <v>2600</v>
      </c>
      <c r="C722" s="9">
        <v>15</v>
      </c>
      <c r="D722" s="9" t="str">
        <f t="shared" ca="1" si="14"/>
        <v>15 বছর 2 মাস 12 দিন</v>
      </c>
      <c r="E722" s="11" t="s">
        <v>2601</v>
      </c>
      <c r="F722" s="14">
        <v>31618</v>
      </c>
      <c r="G722" s="17">
        <v>46057</v>
      </c>
      <c r="H722" s="11" t="s">
        <v>2602</v>
      </c>
      <c r="I722" s="11" t="s">
        <v>588</v>
      </c>
      <c r="J722" s="11" t="s">
        <v>1200</v>
      </c>
      <c r="K722" s="11" t="s">
        <v>50</v>
      </c>
      <c r="L722" s="23">
        <v>46106</v>
      </c>
      <c r="M722" s="11"/>
      <c r="N722" s="9" t="s">
        <v>2260</v>
      </c>
      <c r="O722" s="11" t="s">
        <v>31</v>
      </c>
      <c r="P722" s="11" t="s">
        <v>69</v>
      </c>
      <c r="Q722" s="11"/>
    </row>
    <row r="723" spans="1:17" ht="66" x14ac:dyDescent="0.25">
      <c r="A723" s="13">
        <v>712</v>
      </c>
      <c r="B723" s="16" t="s">
        <v>2603</v>
      </c>
      <c r="C723" s="9">
        <v>16</v>
      </c>
      <c r="D723" s="9" t="str">
        <f t="shared" ca="1" si="14"/>
        <v>16 বছর 2 মাস 12 দিন</v>
      </c>
      <c r="E723" s="11" t="s">
        <v>2601</v>
      </c>
      <c r="F723" s="14">
        <v>31619</v>
      </c>
      <c r="G723" s="17">
        <v>46057</v>
      </c>
      <c r="H723" s="11" t="s">
        <v>2602</v>
      </c>
      <c r="I723" s="11" t="s">
        <v>588</v>
      </c>
      <c r="J723" s="11" t="s">
        <v>1200</v>
      </c>
      <c r="K723" s="11" t="s">
        <v>50</v>
      </c>
      <c r="L723" s="23">
        <v>46106</v>
      </c>
      <c r="M723" s="11"/>
      <c r="N723" s="9" t="s">
        <v>2260</v>
      </c>
      <c r="O723" s="11" t="s">
        <v>110</v>
      </c>
      <c r="P723" s="9" t="s">
        <v>441</v>
      </c>
      <c r="Q723" s="11"/>
    </row>
    <row r="724" spans="1:17" ht="66" x14ac:dyDescent="0.25">
      <c r="A724" s="13">
        <v>713</v>
      </c>
      <c r="B724" s="16" t="s">
        <v>2604</v>
      </c>
      <c r="C724" s="9">
        <v>16</v>
      </c>
      <c r="D724" s="9" t="str">
        <f t="shared" ca="1" si="14"/>
        <v>16 বছর 2 মাস 12 দিন</v>
      </c>
      <c r="E724" s="11" t="s">
        <v>2605</v>
      </c>
      <c r="F724" s="14">
        <v>31620</v>
      </c>
      <c r="G724" s="17">
        <v>46057</v>
      </c>
      <c r="H724" s="11" t="s">
        <v>2602</v>
      </c>
      <c r="I724" s="11" t="s">
        <v>588</v>
      </c>
      <c r="J724" s="11" t="s">
        <v>1200</v>
      </c>
      <c r="K724" s="11" t="s">
        <v>50</v>
      </c>
      <c r="L724" s="23">
        <v>46106</v>
      </c>
      <c r="M724" s="11"/>
      <c r="N724" s="9" t="s">
        <v>2260</v>
      </c>
      <c r="O724" s="11" t="s">
        <v>100</v>
      </c>
      <c r="P724" s="16" t="s">
        <v>158</v>
      </c>
      <c r="Q724" s="11" t="s">
        <v>1602</v>
      </c>
    </row>
    <row r="725" spans="1:17" ht="66" x14ac:dyDescent="0.25">
      <c r="A725" s="13">
        <v>714</v>
      </c>
      <c r="B725" s="16" t="s">
        <v>2606</v>
      </c>
      <c r="C725" s="9">
        <v>15</v>
      </c>
      <c r="D725" s="9" t="str">
        <f t="shared" ca="1" si="14"/>
        <v>15 বছর 2 মাস 12 দিন</v>
      </c>
      <c r="E725" s="11" t="s">
        <v>2607</v>
      </c>
      <c r="F725" s="14">
        <v>31621</v>
      </c>
      <c r="G725" s="17">
        <v>46057</v>
      </c>
      <c r="H725" s="11" t="s">
        <v>2602</v>
      </c>
      <c r="I725" s="11" t="s">
        <v>588</v>
      </c>
      <c r="J725" s="11" t="s">
        <v>1200</v>
      </c>
      <c r="K725" s="11" t="s">
        <v>50</v>
      </c>
      <c r="L725" s="23">
        <v>46106</v>
      </c>
      <c r="M725" s="11"/>
      <c r="N725" s="9" t="s">
        <v>2260</v>
      </c>
      <c r="O725" s="11" t="s">
        <v>31</v>
      </c>
      <c r="P725" s="16" t="s">
        <v>158</v>
      </c>
      <c r="Q725" s="11" t="s">
        <v>1602</v>
      </c>
    </row>
    <row r="726" spans="1:17" ht="66" x14ac:dyDescent="0.25">
      <c r="A726" s="13">
        <v>715</v>
      </c>
      <c r="B726" s="16" t="s">
        <v>2608</v>
      </c>
      <c r="C726" s="9">
        <v>17</v>
      </c>
      <c r="D726" s="9" t="str">
        <f t="shared" ca="1" si="14"/>
        <v>17 বছর 2 মাস 12 দিন</v>
      </c>
      <c r="E726" s="11" t="s">
        <v>2609</v>
      </c>
      <c r="F726" s="14">
        <v>31622</v>
      </c>
      <c r="G726" s="17">
        <v>46057</v>
      </c>
      <c r="H726" s="11" t="s">
        <v>2610</v>
      </c>
      <c r="I726" s="11" t="s">
        <v>38</v>
      </c>
      <c r="J726" s="11" t="s">
        <v>1343</v>
      </c>
      <c r="K726" s="11" t="s">
        <v>50</v>
      </c>
      <c r="L726" s="23">
        <v>46093</v>
      </c>
      <c r="M726" s="11"/>
      <c r="N726" s="9" t="s">
        <v>2260</v>
      </c>
      <c r="O726" s="11" t="s">
        <v>34</v>
      </c>
      <c r="P726" s="11" t="s">
        <v>94</v>
      </c>
      <c r="Q726" s="11"/>
    </row>
    <row r="727" spans="1:17" ht="66" x14ac:dyDescent="0.25">
      <c r="A727" s="13">
        <v>716</v>
      </c>
      <c r="B727" s="16" t="s">
        <v>2611</v>
      </c>
      <c r="C727" s="9">
        <v>15</v>
      </c>
      <c r="D727" s="9" t="str">
        <f t="shared" ca="1" si="14"/>
        <v>15 বছর 2 মাস 10 দিন</v>
      </c>
      <c r="E727" s="11" t="s">
        <v>2612</v>
      </c>
      <c r="F727" s="14">
        <v>31623</v>
      </c>
      <c r="G727" s="17">
        <v>46059</v>
      </c>
      <c r="H727" s="11" t="s">
        <v>2613</v>
      </c>
      <c r="I727" s="11" t="s">
        <v>292</v>
      </c>
      <c r="J727" s="11" t="s">
        <v>2614</v>
      </c>
      <c r="K727" s="11" t="s">
        <v>50</v>
      </c>
      <c r="L727" s="23">
        <v>46083</v>
      </c>
      <c r="M727" s="11"/>
      <c r="N727" s="9" t="s">
        <v>2260</v>
      </c>
      <c r="O727" s="11" t="s">
        <v>31</v>
      </c>
      <c r="P727" s="11" t="s">
        <v>192</v>
      </c>
      <c r="Q727" s="11"/>
    </row>
    <row r="728" spans="1:17" ht="66" x14ac:dyDescent="0.25">
      <c r="A728" s="13">
        <v>717</v>
      </c>
      <c r="B728" s="16" t="s">
        <v>2615</v>
      </c>
      <c r="C728" s="9">
        <v>17</v>
      </c>
      <c r="D728" s="9" t="str">
        <f t="shared" ca="1" si="14"/>
        <v>17 বছর 2 মাস 10 দিন</v>
      </c>
      <c r="E728" s="11" t="s">
        <v>2616</v>
      </c>
      <c r="F728" s="14">
        <v>31624</v>
      </c>
      <c r="G728" s="17">
        <v>46059</v>
      </c>
      <c r="H728" s="11" t="s">
        <v>2617</v>
      </c>
      <c r="I728" s="11" t="s">
        <v>265</v>
      </c>
      <c r="J728" s="11" t="s">
        <v>1221</v>
      </c>
      <c r="K728" s="11" t="s">
        <v>50</v>
      </c>
      <c r="L728" s="23">
        <v>46091</v>
      </c>
      <c r="M728" s="11"/>
      <c r="N728" s="9" t="s">
        <v>2260</v>
      </c>
      <c r="O728" s="11" t="s">
        <v>110</v>
      </c>
      <c r="P728" s="11" t="s">
        <v>88</v>
      </c>
      <c r="Q728" s="11"/>
    </row>
    <row r="729" spans="1:17" ht="66" x14ac:dyDescent="0.25">
      <c r="A729" s="13">
        <v>718</v>
      </c>
      <c r="B729" s="16" t="s">
        <v>2618</v>
      </c>
      <c r="C729" s="9">
        <v>16</v>
      </c>
      <c r="D729" s="9" t="str">
        <f t="shared" ca="1" si="14"/>
        <v>16 বছর 2 মাস 10 দিন</v>
      </c>
      <c r="E729" s="11" t="s">
        <v>2619</v>
      </c>
      <c r="F729" s="14">
        <v>31625</v>
      </c>
      <c r="G729" s="17">
        <v>46059</v>
      </c>
      <c r="H729" s="11" t="s">
        <v>2620</v>
      </c>
      <c r="I729" s="11" t="s">
        <v>38</v>
      </c>
      <c r="J729" s="11" t="s">
        <v>896</v>
      </c>
      <c r="K729" s="11" t="s">
        <v>50</v>
      </c>
      <c r="L729" s="23">
        <v>46092</v>
      </c>
      <c r="M729" s="11"/>
      <c r="N729" s="9" t="s">
        <v>2260</v>
      </c>
      <c r="O729" s="11" t="s">
        <v>34</v>
      </c>
      <c r="P729" s="16" t="s">
        <v>158</v>
      </c>
      <c r="Q729" s="11" t="s">
        <v>464</v>
      </c>
    </row>
    <row r="730" spans="1:17" ht="66" x14ac:dyDescent="0.25">
      <c r="A730" s="13">
        <v>719</v>
      </c>
      <c r="B730" s="16" t="s">
        <v>2621</v>
      </c>
      <c r="C730" s="9">
        <v>17</v>
      </c>
      <c r="D730" s="9" t="str">
        <f t="shared" ca="1" si="14"/>
        <v>17 বছর 2 মাস 10 দিন</v>
      </c>
      <c r="E730" s="11" t="s">
        <v>2622</v>
      </c>
      <c r="F730" s="14">
        <v>31626</v>
      </c>
      <c r="G730" s="17">
        <v>46059</v>
      </c>
      <c r="H730" s="11" t="s">
        <v>2613</v>
      </c>
      <c r="I730" s="11" t="s">
        <v>292</v>
      </c>
      <c r="J730" s="11" t="s">
        <v>2614</v>
      </c>
      <c r="K730" s="11" t="s">
        <v>50</v>
      </c>
      <c r="L730" s="23">
        <v>46083</v>
      </c>
      <c r="M730" s="11"/>
      <c r="N730" s="9" t="s">
        <v>2260</v>
      </c>
      <c r="O730" s="11" t="s">
        <v>51</v>
      </c>
      <c r="P730" s="11" t="s">
        <v>217</v>
      </c>
      <c r="Q730" s="11"/>
    </row>
    <row r="731" spans="1:17" ht="115.5" x14ac:dyDescent="0.25">
      <c r="A731" s="13">
        <v>720</v>
      </c>
      <c r="B731" s="16" t="s">
        <v>2623</v>
      </c>
      <c r="C731" s="9"/>
      <c r="D731" s="9" t="str">
        <f t="shared" ca="1" si="14"/>
        <v>0 বছর 2 মাস 10 দিন</v>
      </c>
      <c r="E731" s="11" t="s">
        <v>2624</v>
      </c>
      <c r="F731" s="14">
        <v>31627</v>
      </c>
      <c r="G731" s="17">
        <v>46059</v>
      </c>
      <c r="H731" s="11" t="s">
        <v>2625</v>
      </c>
      <c r="I731" s="11" t="s">
        <v>552</v>
      </c>
      <c r="J731" s="11" t="s">
        <v>896</v>
      </c>
      <c r="K731" s="11" t="s">
        <v>50</v>
      </c>
      <c r="L731" s="23">
        <v>46082</v>
      </c>
      <c r="M731" s="11"/>
      <c r="N731" s="9" t="s">
        <v>2260</v>
      </c>
      <c r="O731" s="11" t="s">
        <v>31</v>
      </c>
      <c r="P731" s="16" t="s">
        <v>158</v>
      </c>
      <c r="Q731" s="11" t="s">
        <v>1602</v>
      </c>
    </row>
    <row r="732" spans="1:17" ht="66" x14ac:dyDescent="0.25">
      <c r="A732" s="13">
        <v>721</v>
      </c>
      <c r="B732" s="16" t="s">
        <v>2626</v>
      </c>
      <c r="C732" s="9">
        <v>16</v>
      </c>
      <c r="D732" s="9" t="str">
        <f t="shared" ca="1" si="14"/>
        <v>16 বছর 2 মাস 10 দিন</v>
      </c>
      <c r="E732" s="11" t="s">
        <v>2627</v>
      </c>
      <c r="F732" s="14">
        <v>31628</v>
      </c>
      <c r="G732" s="17">
        <v>46059</v>
      </c>
      <c r="H732" s="11" t="s">
        <v>2628</v>
      </c>
      <c r="I732" s="11" t="s">
        <v>38</v>
      </c>
      <c r="J732" s="11" t="s">
        <v>1200</v>
      </c>
      <c r="K732" s="11" t="s">
        <v>50</v>
      </c>
      <c r="L732" s="23">
        <v>46111</v>
      </c>
      <c r="M732" s="11"/>
      <c r="N732" s="9" t="s">
        <v>2260</v>
      </c>
      <c r="O732" s="11" t="s">
        <v>100</v>
      </c>
      <c r="P732" s="16" t="s">
        <v>158</v>
      </c>
      <c r="Q732" s="11" t="s">
        <v>873</v>
      </c>
    </row>
    <row r="733" spans="1:17" ht="66" x14ac:dyDescent="0.25">
      <c r="A733" s="13">
        <v>722</v>
      </c>
      <c r="B733" s="16" t="s">
        <v>2629</v>
      </c>
      <c r="C733" s="9"/>
      <c r="D733" s="9" t="str">
        <f t="shared" ca="1" si="14"/>
        <v>0 বছর 2 মাস 10 দিন</v>
      </c>
      <c r="E733" s="11" t="s">
        <v>2630</v>
      </c>
      <c r="F733" s="14">
        <v>31629</v>
      </c>
      <c r="G733" s="17">
        <v>46059</v>
      </c>
      <c r="H733" s="11" t="s">
        <v>2631</v>
      </c>
      <c r="I733" s="11" t="s">
        <v>265</v>
      </c>
      <c r="J733" s="11" t="s">
        <v>1905</v>
      </c>
      <c r="K733" s="11" t="s">
        <v>50</v>
      </c>
      <c r="L733" s="23">
        <v>46093</v>
      </c>
      <c r="M733" s="11"/>
      <c r="N733" s="9" t="s">
        <v>2260</v>
      </c>
      <c r="O733" s="11" t="s">
        <v>31</v>
      </c>
      <c r="P733" s="9" t="s">
        <v>441</v>
      </c>
      <c r="Q733" s="11"/>
    </row>
    <row r="734" spans="1:17" ht="66" x14ac:dyDescent="0.25">
      <c r="A734" s="13">
        <v>723</v>
      </c>
      <c r="B734" s="16" t="s">
        <v>2632</v>
      </c>
      <c r="C734" s="9"/>
      <c r="D734" s="9" t="str">
        <f t="shared" ca="1" si="14"/>
        <v>0 বছর 2 মাস 10 দিন</v>
      </c>
      <c r="E734" s="11" t="s">
        <v>2633</v>
      </c>
      <c r="F734" s="14">
        <v>31630</v>
      </c>
      <c r="G734" s="17">
        <v>46059</v>
      </c>
      <c r="H734" s="11" t="s">
        <v>2631</v>
      </c>
      <c r="I734" s="11" t="s">
        <v>265</v>
      </c>
      <c r="J734" s="11" t="s">
        <v>1905</v>
      </c>
      <c r="K734" s="11" t="s">
        <v>50</v>
      </c>
      <c r="L734" s="23">
        <v>46093</v>
      </c>
      <c r="M734" s="11"/>
      <c r="N734" s="9" t="s">
        <v>2260</v>
      </c>
      <c r="O734" s="11" t="s">
        <v>31</v>
      </c>
      <c r="P734" s="16" t="s">
        <v>158</v>
      </c>
      <c r="Q734" s="11" t="s">
        <v>1025</v>
      </c>
    </row>
    <row r="735" spans="1:17" ht="66" x14ac:dyDescent="0.25">
      <c r="A735" s="13">
        <v>724</v>
      </c>
      <c r="B735" s="16" t="s">
        <v>2634</v>
      </c>
      <c r="C735" s="9">
        <v>17</v>
      </c>
      <c r="D735" s="9" t="str">
        <f t="shared" ca="1" si="14"/>
        <v>17 বছর 2 মাস 10 দিন</v>
      </c>
      <c r="E735" s="11" t="s">
        <v>2635</v>
      </c>
      <c r="F735" s="14">
        <v>31631</v>
      </c>
      <c r="G735" s="17">
        <v>46059</v>
      </c>
      <c r="H735" s="11" t="s">
        <v>2636</v>
      </c>
      <c r="I735" s="11" t="s">
        <v>27</v>
      </c>
      <c r="J735" s="11" t="s">
        <v>1261</v>
      </c>
      <c r="K735" s="11" t="s">
        <v>50</v>
      </c>
      <c r="L735" s="23">
        <v>46077</v>
      </c>
      <c r="M735" s="11"/>
      <c r="N735" s="9" t="s">
        <v>2260</v>
      </c>
      <c r="O735" s="11" t="s">
        <v>34</v>
      </c>
      <c r="P735" s="16" t="s">
        <v>158</v>
      </c>
      <c r="Q735" s="11" t="s">
        <v>930</v>
      </c>
    </row>
    <row r="736" spans="1:17" ht="66" x14ac:dyDescent="0.25">
      <c r="A736" s="13">
        <v>725</v>
      </c>
      <c r="B736" s="16" t="s">
        <v>2637</v>
      </c>
      <c r="C736" s="9">
        <v>17</v>
      </c>
      <c r="D736" s="9" t="str">
        <f t="shared" ca="1" si="14"/>
        <v>17 বছর 2 মাস 10 দিন</v>
      </c>
      <c r="E736" s="11" t="s">
        <v>2638</v>
      </c>
      <c r="F736" s="14">
        <v>31632</v>
      </c>
      <c r="G736" s="17">
        <v>46059</v>
      </c>
      <c r="H736" s="11" t="s">
        <v>2639</v>
      </c>
      <c r="I736" s="11" t="s">
        <v>38</v>
      </c>
      <c r="J736" s="11" t="s">
        <v>2476</v>
      </c>
      <c r="K736" s="11" t="s">
        <v>50</v>
      </c>
      <c r="L736" s="23">
        <v>46093</v>
      </c>
      <c r="M736" s="11"/>
      <c r="N736" s="9" t="s">
        <v>2260</v>
      </c>
      <c r="O736" s="11" t="s">
        <v>100</v>
      </c>
      <c r="P736" s="11" t="s">
        <v>192</v>
      </c>
      <c r="Q736" s="11"/>
    </row>
    <row r="737" spans="1:17" ht="66" x14ac:dyDescent="0.25">
      <c r="A737" s="13">
        <v>726</v>
      </c>
      <c r="B737" s="16" t="s">
        <v>2640</v>
      </c>
      <c r="C737" s="9">
        <v>16</v>
      </c>
      <c r="D737" s="9" t="str">
        <f t="shared" ca="1" si="14"/>
        <v>16 বছর 2 মাস 10 দিন</v>
      </c>
      <c r="E737" s="11" t="s">
        <v>2641</v>
      </c>
      <c r="F737" s="14">
        <v>31633</v>
      </c>
      <c r="G737" s="17">
        <v>46059</v>
      </c>
      <c r="H737" s="11" t="s">
        <v>2642</v>
      </c>
      <c r="I737" s="11" t="s">
        <v>27</v>
      </c>
      <c r="J737" s="11" t="s">
        <v>2581</v>
      </c>
      <c r="K737" s="11" t="s">
        <v>50</v>
      </c>
      <c r="L737" s="23">
        <v>46086</v>
      </c>
      <c r="M737" s="11"/>
      <c r="N737" s="9" t="s">
        <v>2260</v>
      </c>
      <c r="O737" s="11" t="s">
        <v>51</v>
      </c>
      <c r="P737" s="11" t="s">
        <v>88</v>
      </c>
      <c r="Q737" s="11"/>
    </row>
    <row r="738" spans="1:17" ht="66" x14ac:dyDescent="0.25">
      <c r="A738" s="13">
        <v>727</v>
      </c>
      <c r="B738" s="16" t="s">
        <v>2643</v>
      </c>
      <c r="C738" s="9">
        <v>17</v>
      </c>
      <c r="D738" s="9" t="str">
        <f t="shared" ca="1" si="14"/>
        <v>17 বছর 2 মাস 10 দিন</v>
      </c>
      <c r="E738" s="11" t="s">
        <v>2644</v>
      </c>
      <c r="F738" s="14">
        <v>31634</v>
      </c>
      <c r="G738" s="17">
        <v>46059</v>
      </c>
      <c r="H738" s="11" t="s">
        <v>2645</v>
      </c>
      <c r="I738" s="11" t="s">
        <v>38</v>
      </c>
      <c r="J738" s="11" t="s">
        <v>1175</v>
      </c>
      <c r="K738" s="11" t="s">
        <v>50</v>
      </c>
      <c r="L738" s="23">
        <v>46079</v>
      </c>
      <c r="M738" s="11"/>
      <c r="N738" s="9" t="s">
        <v>2260</v>
      </c>
      <c r="O738" s="11" t="s">
        <v>110</v>
      </c>
      <c r="P738" s="16" t="s">
        <v>158</v>
      </c>
      <c r="Q738" s="11" t="s">
        <v>1025</v>
      </c>
    </row>
    <row r="739" spans="1:17" ht="66" x14ac:dyDescent="0.25">
      <c r="A739" s="13">
        <v>728</v>
      </c>
      <c r="B739" s="16" t="s">
        <v>2646</v>
      </c>
      <c r="C739" s="9">
        <v>16</v>
      </c>
      <c r="D739" s="9" t="str">
        <f t="shared" ca="1" si="14"/>
        <v>16 বছর 2 মাস 9 দিন</v>
      </c>
      <c r="E739" s="11" t="s">
        <v>2647</v>
      </c>
      <c r="F739" s="14">
        <v>31635</v>
      </c>
      <c r="G739" s="17">
        <v>46060</v>
      </c>
      <c r="H739" s="11" t="s">
        <v>2648</v>
      </c>
      <c r="I739" s="11" t="s">
        <v>38</v>
      </c>
      <c r="J739" s="11" t="s">
        <v>2574</v>
      </c>
      <c r="K739" s="11" t="s">
        <v>50</v>
      </c>
      <c r="L739" s="23">
        <v>46093</v>
      </c>
      <c r="M739" s="11"/>
      <c r="N739" s="9" t="s">
        <v>2260</v>
      </c>
      <c r="O739" s="11" t="s">
        <v>34</v>
      </c>
      <c r="P739" s="11" t="s">
        <v>69</v>
      </c>
      <c r="Q739" s="11"/>
    </row>
    <row r="740" spans="1:17" ht="66" x14ac:dyDescent="0.25">
      <c r="A740" s="13">
        <v>729</v>
      </c>
      <c r="B740" s="16" t="s">
        <v>2649</v>
      </c>
      <c r="C740" s="9">
        <v>16</v>
      </c>
      <c r="D740" s="9" t="str">
        <f t="shared" ca="1" si="14"/>
        <v>16 বছর 2 মাস 9 দিন</v>
      </c>
      <c r="E740" s="11" t="s">
        <v>2650</v>
      </c>
      <c r="F740" s="14">
        <v>31636</v>
      </c>
      <c r="G740" s="17">
        <v>46060</v>
      </c>
      <c r="H740" s="11" t="s">
        <v>2651</v>
      </c>
      <c r="I740" s="11" t="s">
        <v>38</v>
      </c>
      <c r="J740" s="11" t="s">
        <v>1651</v>
      </c>
      <c r="K740" s="11" t="s">
        <v>50</v>
      </c>
      <c r="L740" s="23">
        <v>46093</v>
      </c>
      <c r="M740" s="11"/>
      <c r="N740" s="9" t="s">
        <v>2260</v>
      </c>
      <c r="O740" s="11" t="s">
        <v>100</v>
      </c>
      <c r="P740" s="16" t="s">
        <v>158</v>
      </c>
      <c r="Q740" s="11" t="s">
        <v>819</v>
      </c>
    </row>
    <row r="741" spans="1:17" ht="66" x14ac:dyDescent="0.25">
      <c r="A741" s="13">
        <v>730</v>
      </c>
      <c r="B741" s="16" t="s">
        <v>2652</v>
      </c>
      <c r="C741" s="9">
        <v>17</v>
      </c>
      <c r="D741" s="9" t="str">
        <f t="shared" ca="1" si="14"/>
        <v>17 বছর 2 মাস 9 দিন</v>
      </c>
      <c r="E741" s="11" t="s">
        <v>2653</v>
      </c>
      <c r="F741" s="14">
        <v>31637</v>
      </c>
      <c r="G741" s="17">
        <v>46060</v>
      </c>
      <c r="H741" s="11" t="s">
        <v>2654</v>
      </c>
      <c r="I741" s="11" t="s">
        <v>196</v>
      </c>
      <c r="J741" s="11" t="s">
        <v>2655</v>
      </c>
      <c r="K741" s="11" t="s">
        <v>50</v>
      </c>
      <c r="L741" s="23">
        <v>46111</v>
      </c>
      <c r="M741" s="11"/>
      <c r="N741" s="9" t="s">
        <v>2260</v>
      </c>
      <c r="O741" s="11" t="s">
        <v>110</v>
      </c>
      <c r="P741" s="11" t="s">
        <v>57</v>
      </c>
      <c r="Q741" s="11"/>
    </row>
    <row r="742" spans="1:17" ht="66" x14ac:dyDescent="0.25">
      <c r="A742" s="13">
        <v>731</v>
      </c>
      <c r="B742" s="16" t="s">
        <v>2656</v>
      </c>
      <c r="C742" s="9">
        <v>16</v>
      </c>
      <c r="D742" s="9" t="str">
        <f t="shared" ca="1" si="14"/>
        <v>16 বছর 2 মাস 9 দিন</v>
      </c>
      <c r="E742" s="11" t="s">
        <v>2657</v>
      </c>
      <c r="F742" s="14">
        <v>31638</v>
      </c>
      <c r="G742" s="17">
        <v>46060</v>
      </c>
      <c r="H742" s="11" t="s">
        <v>2654</v>
      </c>
      <c r="I742" s="11" t="s">
        <v>196</v>
      </c>
      <c r="J742" s="11" t="s">
        <v>2655</v>
      </c>
      <c r="K742" s="11" t="s">
        <v>50</v>
      </c>
      <c r="L742" s="23">
        <v>46111</v>
      </c>
      <c r="M742" s="11"/>
      <c r="N742" s="9" t="s">
        <v>2260</v>
      </c>
      <c r="O742" s="11" t="s">
        <v>34</v>
      </c>
      <c r="P742" s="11" t="s">
        <v>94</v>
      </c>
      <c r="Q742" s="11"/>
    </row>
    <row r="743" spans="1:17" ht="66" x14ac:dyDescent="0.25">
      <c r="A743" s="13">
        <v>732</v>
      </c>
      <c r="B743" s="16" t="s">
        <v>2658</v>
      </c>
      <c r="C743" s="9">
        <v>17</v>
      </c>
      <c r="D743" s="9" t="str">
        <f t="shared" ca="1" si="14"/>
        <v>17 বছর 2 মাস 9 দিন</v>
      </c>
      <c r="E743" s="11" t="s">
        <v>2659</v>
      </c>
      <c r="F743" s="14">
        <v>31639</v>
      </c>
      <c r="G743" s="17">
        <v>46060</v>
      </c>
      <c r="H743" s="11" t="s">
        <v>2654</v>
      </c>
      <c r="I743" s="11" t="s">
        <v>196</v>
      </c>
      <c r="J743" s="11" t="s">
        <v>2655</v>
      </c>
      <c r="K743" s="11" t="s">
        <v>50</v>
      </c>
      <c r="L743" s="23">
        <v>46111</v>
      </c>
      <c r="M743" s="11"/>
      <c r="N743" s="9" t="s">
        <v>2260</v>
      </c>
      <c r="O743" s="11" t="s">
        <v>110</v>
      </c>
      <c r="P743" s="9" t="s">
        <v>441</v>
      </c>
      <c r="Q743" s="11"/>
    </row>
    <row r="744" spans="1:17" ht="66" x14ac:dyDescent="0.25">
      <c r="A744" s="13">
        <v>733</v>
      </c>
      <c r="B744" s="16" t="s">
        <v>2660</v>
      </c>
      <c r="C744" s="9">
        <v>17</v>
      </c>
      <c r="D744" s="9" t="str">
        <f t="shared" ca="1" si="14"/>
        <v>17 বছর 2 মাস 9 দিন</v>
      </c>
      <c r="E744" s="11" t="s">
        <v>2661</v>
      </c>
      <c r="F744" s="14">
        <v>31640</v>
      </c>
      <c r="G744" s="17">
        <v>46060</v>
      </c>
      <c r="H744" s="11" t="s">
        <v>2662</v>
      </c>
      <c r="I744" s="11" t="s">
        <v>27</v>
      </c>
      <c r="J744" s="11" t="s">
        <v>1637</v>
      </c>
      <c r="K744" s="11" t="s">
        <v>50</v>
      </c>
      <c r="L744" s="23">
        <v>46081</v>
      </c>
      <c r="M744" s="11"/>
      <c r="N744" s="9" t="s">
        <v>2260</v>
      </c>
      <c r="O744" s="11" t="s">
        <v>51</v>
      </c>
      <c r="P744" s="11" t="s">
        <v>217</v>
      </c>
      <c r="Q744" s="11"/>
    </row>
    <row r="745" spans="1:17" ht="66" x14ac:dyDescent="0.25">
      <c r="A745" s="13">
        <v>734</v>
      </c>
      <c r="B745" s="16" t="s">
        <v>2663</v>
      </c>
      <c r="C745" s="9">
        <v>17</v>
      </c>
      <c r="D745" s="9" t="str">
        <f t="shared" ca="1" si="14"/>
        <v>17 বছর 2 মাস 9 দিন</v>
      </c>
      <c r="E745" s="11" t="s">
        <v>2664</v>
      </c>
      <c r="F745" s="14">
        <v>31641</v>
      </c>
      <c r="G745" s="17">
        <v>46060</v>
      </c>
      <c r="H745" s="11" t="s">
        <v>2665</v>
      </c>
      <c r="I745" s="11" t="s">
        <v>292</v>
      </c>
      <c r="J745" s="11" t="s">
        <v>510</v>
      </c>
      <c r="K745" s="11" t="s">
        <v>50</v>
      </c>
      <c r="L745" s="23">
        <v>46089</v>
      </c>
      <c r="M745" s="11"/>
      <c r="N745" s="9" t="s">
        <v>2260</v>
      </c>
      <c r="O745" s="11" t="s">
        <v>34</v>
      </c>
      <c r="P745" s="16" t="s">
        <v>158</v>
      </c>
      <c r="Q745" s="11" t="s">
        <v>819</v>
      </c>
    </row>
    <row r="746" spans="1:17" ht="66" x14ac:dyDescent="0.25">
      <c r="A746" s="13">
        <v>735</v>
      </c>
      <c r="B746" s="16" t="s">
        <v>2666</v>
      </c>
      <c r="C746" s="9">
        <v>16</v>
      </c>
      <c r="D746" s="9" t="str">
        <f t="shared" ca="1" si="14"/>
        <v>16 বছর 2 মাস 9 দিন</v>
      </c>
      <c r="E746" s="11" t="s">
        <v>2667</v>
      </c>
      <c r="F746" s="14">
        <v>31642</v>
      </c>
      <c r="G746" s="17">
        <v>46060</v>
      </c>
      <c r="H746" s="11" t="s">
        <v>2668</v>
      </c>
      <c r="I746" s="11" t="s">
        <v>27</v>
      </c>
      <c r="J746" s="11" t="s">
        <v>1637</v>
      </c>
      <c r="K746" s="11" t="s">
        <v>50</v>
      </c>
      <c r="L746" s="23">
        <v>46062</v>
      </c>
      <c r="M746" s="11"/>
      <c r="N746" s="9" t="s">
        <v>2260</v>
      </c>
      <c r="O746" s="11" t="s">
        <v>100</v>
      </c>
      <c r="P746" s="16" t="s">
        <v>158</v>
      </c>
      <c r="Q746" s="11" t="s">
        <v>1787</v>
      </c>
    </row>
    <row r="747" spans="1:17" ht="66" x14ac:dyDescent="0.25">
      <c r="A747" s="13">
        <v>736</v>
      </c>
      <c r="B747" s="16" t="s">
        <v>2669</v>
      </c>
      <c r="C747" s="9">
        <v>17</v>
      </c>
      <c r="D747" s="9" t="str">
        <f t="shared" ca="1" si="14"/>
        <v>17 বছর 2 মাস 9 দিন</v>
      </c>
      <c r="E747" s="11" t="s">
        <v>2670</v>
      </c>
      <c r="F747" s="14">
        <v>31643</v>
      </c>
      <c r="G747" s="17">
        <v>46060</v>
      </c>
      <c r="H747" s="11" t="s">
        <v>2671</v>
      </c>
      <c r="I747" s="11" t="s">
        <v>48</v>
      </c>
      <c r="J747" s="11" t="s">
        <v>1637</v>
      </c>
      <c r="K747" s="11" t="s">
        <v>50</v>
      </c>
      <c r="L747" s="23">
        <v>46077</v>
      </c>
      <c r="M747" s="11"/>
      <c r="N747" s="9" t="s">
        <v>2260</v>
      </c>
      <c r="O747" s="11" t="s">
        <v>34</v>
      </c>
      <c r="P747" s="11" t="s">
        <v>69</v>
      </c>
      <c r="Q747" s="11"/>
    </row>
    <row r="748" spans="1:17" ht="82.5" x14ac:dyDescent="0.25">
      <c r="A748" s="13">
        <v>737</v>
      </c>
      <c r="B748" s="16" t="s">
        <v>2672</v>
      </c>
      <c r="C748" s="9">
        <v>17</v>
      </c>
      <c r="D748" s="9" t="str">
        <f t="shared" ca="1" si="14"/>
        <v>17 বছর 2 মাস 9 দিন</v>
      </c>
      <c r="E748" s="11" t="s">
        <v>2673</v>
      </c>
      <c r="F748" s="14">
        <v>31644</v>
      </c>
      <c r="G748" s="17">
        <v>46060</v>
      </c>
      <c r="H748" s="11" t="s">
        <v>2674</v>
      </c>
      <c r="I748" s="11" t="s">
        <v>38</v>
      </c>
      <c r="J748" s="11" t="s">
        <v>1637</v>
      </c>
      <c r="K748" s="11" t="s">
        <v>50</v>
      </c>
      <c r="L748" s="23">
        <v>46077</v>
      </c>
      <c r="M748" s="11"/>
      <c r="N748" s="9" t="s">
        <v>2260</v>
      </c>
      <c r="O748" s="11" t="s">
        <v>51</v>
      </c>
      <c r="P748" s="11" t="s">
        <v>94</v>
      </c>
      <c r="Q748" s="11"/>
    </row>
    <row r="749" spans="1:17" ht="66" x14ac:dyDescent="0.25">
      <c r="A749" s="13">
        <v>738</v>
      </c>
      <c r="B749" s="16" t="s">
        <v>2675</v>
      </c>
      <c r="C749" s="9">
        <v>17</v>
      </c>
      <c r="D749" s="9" t="str">
        <f t="shared" ca="1" si="14"/>
        <v>17 বছর 2 মাস 9 দিন</v>
      </c>
      <c r="E749" s="11" t="s">
        <v>2676</v>
      </c>
      <c r="F749" s="14">
        <v>31645</v>
      </c>
      <c r="G749" s="17">
        <v>46060</v>
      </c>
      <c r="H749" s="11" t="s">
        <v>2677</v>
      </c>
      <c r="I749" s="11" t="s">
        <v>265</v>
      </c>
      <c r="J749" s="11" t="s">
        <v>1920</v>
      </c>
      <c r="K749" s="11" t="s">
        <v>50</v>
      </c>
      <c r="L749" s="23"/>
      <c r="M749" s="11"/>
      <c r="N749" s="9" t="s">
        <v>2260</v>
      </c>
      <c r="O749" s="11" t="s">
        <v>34</v>
      </c>
      <c r="P749" s="9" t="s">
        <v>441</v>
      </c>
      <c r="Q749" s="11"/>
    </row>
    <row r="750" spans="1:17" ht="66" x14ac:dyDescent="0.25">
      <c r="A750" s="13">
        <v>739</v>
      </c>
      <c r="B750" s="16" t="s">
        <v>2678</v>
      </c>
      <c r="C750" s="9">
        <v>16</v>
      </c>
      <c r="D750" s="9" t="str">
        <f t="shared" ca="1" si="14"/>
        <v>16 বছর 2 মাস 9 দিন</v>
      </c>
      <c r="E750" s="11" t="s">
        <v>2679</v>
      </c>
      <c r="F750" s="14">
        <v>31646</v>
      </c>
      <c r="G750" s="17">
        <v>46060</v>
      </c>
      <c r="H750" s="11" t="s">
        <v>2680</v>
      </c>
      <c r="I750" s="11" t="s">
        <v>27</v>
      </c>
      <c r="J750" s="11" t="s">
        <v>1920</v>
      </c>
      <c r="K750" s="11" t="s">
        <v>50</v>
      </c>
      <c r="L750" s="23"/>
      <c r="M750" s="11"/>
      <c r="N750" s="9" t="s">
        <v>2260</v>
      </c>
      <c r="O750" s="11" t="s">
        <v>110</v>
      </c>
      <c r="P750" s="11" t="s">
        <v>88</v>
      </c>
      <c r="Q750" s="11"/>
    </row>
    <row r="751" spans="1:17" ht="66" x14ac:dyDescent="0.25">
      <c r="A751" s="13">
        <v>740</v>
      </c>
      <c r="B751" s="16" t="s">
        <v>2681</v>
      </c>
      <c r="C751" s="9">
        <v>16</v>
      </c>
      <c r="D751" s="9" t="str">
        <f t="shared" ca="1" si="14"/>
        <v>16 বছর 2 মাস 9 দিন</v>
      </c>
      <c r="E751" s="11" t="s">
        <v>2682</v>
      </c>
      <c r="F751" s="14">
        <v>31647</v>
      </c>
      <c r="G751" s="17">
        <v>46060</v>
      </c>
      <c r="H751" s="11" t="s">
        <v>2683</v>
      </c>
      <c r="I751" s="11" t="s">
        <v>27</v>
      </c>
      <c r="J751" s="11" t="s">
        <v>1200</v>
      </c>
      <c r="K751" s="11" t="s">
        <v>50</v>
      </c>
      <c r="L751" s="23">
        <v>46079</v>
      </c>
      <c r="M751" s="11"/>
      <c r="N751" s="9" t="s">
        <v>2260</v>
      </c>
      <c r="O751" s="11" t="s">
        <v>51</v>
      </c>
      <c r="P751" s="11" t="s">
        <v>57</v>
      </c>
      <c r="Q751" s="11"/>
    </row>
    <row r="752" spans="1:17" ht="66" x14ac:dyDescent="0.25">
      <c r="A752" s="13">
        <v>741</v>
      </c>
      <c r="B752" s="16" t="s">
        <v>2684</v>
      </c>
      <c r="C752" s="9">
        <v>15</v>
      </c>
      <c r="D752" s="9" t="str">
        <f t="shared" ca="1" si="14"/>
        <v>15 বছর 2 মাস 9 দিন</v>
      </c>
      <c r="E752" s="11" t="s">
        <v>2685</v>
      </c>
      <c r="F752" s="14">
        <v>31648</v>
      </c>
      <c r="G752" s="17">
        <v>46060</v>
      </c>
      <c r="H752" s="11" t="s">
        <v>2686</v>
      </c>
      <c r="I752" s="11" t="s">
        <v>265</v>
      </c>
      <c r="J752" s="11" t="s">
        <v>1343</v>
      </c>
      <c r="K752" s="11" t="s">
        <v>50</v>
      </c>
      <c r="L752" s="23">
        <v>46111</v>
      </c>
      <c r="M752" s="11"/>
      <c r="N752" s="9" t="s">
        <v>2260</v>
      </c>
      <c r="O752" s="11" t="s">
        <v>31</v>
      </c>
      <c r="P752" s="11" t="s">
        <v>94</v>
      </c>
      <c r="Q752" s="11"/>
    </row>
    <row r="753" spans="1:17" ht="66" x14ac:dyDescent="0.25">
      <c r="A753" s="13">
        <v>742</v>
      </c>
      <c r="B753" s="16" t="s">
        <v>2687</v>
      </c>
      <c r="C753" s="9">
        <v>16</v>
      </c>
      <c r="D753" s="9" t="str">
        <f t="shared" ca="1" si="14"/>
        <v>16 বছর 2 মাস 9 দিন</v>
      </c>
      <c r="E753" s="11" t="s">
        <v>2688</v>
      </c>
      <c r="F753" s="14">
        <v>31649</v>
      </c>
      <c r="G753" s="17">
        <v>46060</v>
      </c>
      <c r="H753" s="11" t="s">
        <v>2689</v>
      </c>
      <c r="I753" s="11" t="s">
        <v>27</v>
      </c>
      <c r="J753" s="11" t="s">
        <v>2324</v>
      </c>
      <c r="K753" s="11" t="s">
        <v>50</v>
      </c>
      <c r="L753" s="23">
        <v>46069</v>
      </c>
      <c r="M753" s="11"/>
      <c r="N753" s="9" t="s">
        <v>2260</v>
      </c>
      <c r="O753" s="11" t="s">
        <v>110</v>
      </c>
      <c r="P753" s="9" t="s">
        <v>441</v>
      </c>
      <c r="Q753" s="11"/>
    </row>
    <row r="754" spans="1:17" ht="66" x14ac:dyDescent="0.25">
      <c r="A754" s="13">
        <v>743</v>
      </c>
      <c r="B754" s="16" t="s">
        <v>2690</v>
      </c>
      <c r="C754" s="9">
        <v>17</v>
      </c>
      <c r="D754" s="9" t="str">
        <f t="shared" ca="1" si="14"/>
        <v>17 বছর 2 মাস 9 দিন</v>
      </c>
      <c r="E754" s="11" t="s">
        <v>2691</v>
      </c>
      <c r="F754" s="14">
        <v>31650</v>
      </c>
      <c r="G754" s="17">
        <v>46060</v>
      </c>
      <c r="H754" s="11" t="s">
        <v>2692</v>
      </c>
      <c r="I754" s="11" t="s">
        <v>552</v>
      </c>
      <c r="J754" s="11" t="s">
        <v>1205</v>
      </c>
      <c r="K754" s="11" t="s">
        <v>50</v>
      </c>
      <c r="L754" s="23">
        <v>46062</v>
      </c>
      <c r="M754" s="11"/>
      <c r="N754" s="9" t="s">
        <v>2260</v>
      </c>
      <c r="O754" s="11" t="s">
        <v>34</v>
      </c>
      <c r="P754" s="16" t="s">
        <v>158</v>
      </c>
      <c r="Q754" s="11" t="s">
        <v>2693</v>
      </c>
    </row>
    <row r="755" spans="1:17" ht="66" x14ac:dyDescent="0.25">
      <c r="A755" s="13">
        <v>744</v>
      </c>
      <c r="B755" s="16" t="s">
        <v>2694</v>
      </c>
      <c r="C755" s="9">
        <v>12</v>
      </c>
      <c r="D755" s="9" t="str">
        <f t="shared" ca="1" si="14"/>
        <v>12 বছর 2 মাস 8 দিন</v>
      </c>
      <c r="E755" s="11" t="s">
        <v>2695</v>
      </c>
      <c r="F755" s="14">
        <v>31651</v>
      </c>
      <c r="G755" s="17">
        <v>46061</v>
      </c>
      <c r="H755" s="11" t="s">
        <v>2696</v>
      </c>
      <c r="I755" s="11" t="s">
        <v>38</v>
      </c>
      <c r="J755" s="11" t="s">
        <v>1205</v>
      </c>
      <c r="K755" s="11" t="s">
        <v>50</v>
      </c>
      <c r="L755" s="23">
        <v>46111</v>
      </c>
      <c r="M755" s="11"/>
      <c r="N755" s="9" t="s">
        <v>2260</v>
      </c>
      <c r="O755" s="11" t="s">
        <v>31</v>
      </c>
      <c r="P755" s="11" t="s">
        <v>192</v>
      </c>
      <c r="Q755" s="11"/>
    </row>
    <row r="756" spans="1:17" ht="66" x14ac:dyDescent="0.25">
      <c r="A756" s="13">
        <v>745</v>
      </c>
      <c r="B756" s="16" t="s">
        <v>2697</v>
      </c>
      <c r="C756" s="9">
        <v>19</v>
      </c>
      <c r="D756" s="9" t="str">
        <f t="shared" ca="1" si="14"/>
        <v>19 বছর 2 মাস 8 দিন</v>
      </c>
      <c r="E756" s="11" t="s">
        <v>2698</v>
      </c>
      <c r="F756" s="14">
        <v>31652</v>
      </c>
      <c r="G756" s="17">
        <v>46061</v>
      </c>
      <c r="H756" s="11" t="s">
        <v>2699</v>
      </c>
      <c r="I756" s="11" t="s">
        <v>265</v>
      </c>
      <c r="J756" s="11" t="s">
        <v>1209</v>
      </c>
      <c r="K756" s="11" t="s">
        <v>50</v>
      </c>
      <c r="L756" s="23"/>
      <c r="M756" s="11"/>
      <c r="N756" s="9" t="s">
        <v>2260</v>
      </c>
      <c r="O756" s="11" t="s">
        <v>51</v>
      </c>
      <c r="P756" s="11" t="s">
        <v>217</v>
      </c>
      <c r="Q756" s="11"/>
    </row>
    <row r="757" spans="1:17" ht="66" x14ac:dyDescent="0.25">
      <c r="A757" s="13">
        <v>746</v>
      </c>
      <c r="B757" s="16" t="s">
        <v>2700</v>
      </c>
      <c r="C757" s="9">
        <v>19</v>
      </c>
      <c r="D757" s="9" t="str">
        <f t="shared" ca="1" si="14"/>
        <v>19 বছর 2 মাস 8 দিন</v>
      </c>
      <c r="E757" s="11" t="s">
        <v>2701</v>
      </c>
      <c r="F757" s="14">
        <v>31653</v>
      </c>
      <c r="G757" s="17">
        <v>46061</v>
      </c>
      <c r="H757" s="11" t="s">
        <v>2702</v>
      </c>
      <c r="I757" s="11" t="s">
        <v>38</v>
      </c>
      <c r="J757" s="11" t="s">
        <v>1179</v>
      </c>
      <c r="K757" s="11" t="s">
        <v>50</v>
      </c>
      <c r="L757" s="23">
        <v>46063</v>
      </c>
      <c r="M757" s="11"/>
      <c r="N757" s="9" t="s">
        <v>2260</v>
      </c>
      <c r="O757" s="11" t="s">
        <v>100</v>
      </c>
      <c r="P757" s="16" t="s">
        <v>158</v>
      </c>
      <c r="Q757" s="11" t="s">
        <v>2072</v>
      </c>
    </row>
    <row r="758" spans="1:17" ht="66" x14ac:dyDescent="0.25">
      <c r="A758" s="13">
        <v>747</v>
      </c>
      <c r="B758" s="16" t="s">
        <v>2703</v>
      </c>
      <c r="C758" s="9">
        <v>19</v>
      </c>
      <c r="D758" s="9" t="str">
        <f t="shared" ca="1" si="14"/>
        <v>19 বছর 2 মাস 8 দিন</v>
      </c>
      <c r="E758" s="11" t="s">
        <v>2704</v>
      </c>
      <c r="F758" s="14">
        <v>31654</v>
      </c>
      <c r="G758" s="17">
        <v>46061</v>
      </c>
      <c r="H758" s="11" t="s">
        <v>2705</v>
      </c>
      <c r="I758" s="11" t="s">
        <v>27</v>
      </c>
      <c r="J758" s="11" t="s">
        <v>2706</v>
      </c>
      <c r="K758" s="11" t="s">
        <v>50</v>
      </c>
      <c r="L758" s="23">
        <v>46075</v>
      </c>
      <c r="M758" s="11"/>
      <c r="N758" s="9" t="s">
        <v>2260</v>
      </c>
      <c r="O758" s="11" t="s">
        <v>34</v>
      </c>
      <c r="P758" s="11" t="s">
        <v>57</v>
      </c>
      <c r="Q758" s="11"/>
    </row>
    <row r="759" spans="1:17" ht="66" x14ac:dyDescent="0.25">
      <c r="A759" s="13">
        <v>748</v>
      </c>
      <c r="B759" s="16" t="s">
        <v>2707</v>
      </c>
      <c r="C759" s="9">
        <v>15</v>
      </c>
      <c r="D759" s="9" t="str">
        <f t="shared" ca="1" si="14"/>
        <v>15 বছর 2 মাস 8 দিন</v>
      </c>
      <c r="E759" s="11" t="s">
        <v>2708</v>
      </c>
      <c r="F759" s="14">
        <v>31655</v>
      </c>
      <c r="G759" s="17">
        <v>46061</v>
      </c>
      <c r="H759" s="11" t="s">
        <v>2709</v>
      </c>
      <c r="I759" s="11" t="s">
        <v>27</v>
      </c>
      <c r="J759" s="11" t="s">
        <v>1905</v>
      </c>
      <c r="K759" s="11" t="s">
        <v>50</v>
      </c>
      <c r="L759" s="23">
        <v>46068</v>
      </c>
      <c r="M759" s="11"/>
      <c r="N759" s="9" t="s">
        <v>2260</v>
      </c>
      <c r="O759" s="11" t="s">
        <v>31</v>
      </c>
      <c r="P759" s="11" t="s">
        <v>94</v>
      </c>
      <c r="Q759" s="11"/>
    </row>
    <row r="760" spans="1:17" ht="66" x14ac:dyDescent="0.25">
      <c r="A760" s="13">
        <v>749</v>
      </c>
      <c r="B760" s="16" t="s">
        <v>2710</v>
      </c>
      <c r="C760" s="9">
        <v>15</v>
      </c>
      <c r="D760" s="9" t="str">
        <f t="shared" ca="1" si="14"/>
        <v>15 বছর 2 মাস 8 দিন</v>
      </c>
      <c r="E760" s="11" t="s">
        <v>2711</v>
      </c>
      <c r="F760" s="14">
        <v>31656</v>
      </c>
      <c r="G760" s="17">
        <v>46061</v>
      </c>
      <c r="H760" s="11" t="s">
        <v>2712</v>
      </c>
      <c r="I760" s="11" t="s">
        <v>292</v>
      </c>
      <c r="J760" s="11" t="s">
        <v>2614</v>
      </c>
      <c r="K760" s="11" t="s">
        <v>50</v>
      </c>
      <c r="L760" s="23" t="s">
        <v>2713</v>
      </c>
      <c r="M760" s="11"/>
      <c r="N760" s="9" t="s">
        <v>2260</v>
      </c>
      <c r="O760" s="11" t="s">
        <v>31</v>
      </c>
      <c r="P760" s="11" t="s">
        <v>88</v>
      </c>
      <c r="Q760" s="11"/>
    </row>
    <row r="761" spans="1:17" ht="115.5" x14ac:dyDescent="0.25">
      <c r="A761" s="13">
        <v>750</v>
      </c>
      <c r="B761" s="16" t="s">
        <v>2714</v>
      </c>
      <c r="C761" s="9"/>
      <c r="D761" s="9" t="str">
        <f t="shared" ca="1" si="14"/>
        <v>0 বছর 2 মাস 8 দিন</v>
      </c>
      <c r="E761" s="11" t="s">
        <v>2715</v>
      </c>
      <c r="F761" s="14">
        <v>31657</v>
      </c>
      <c r="G761" s="17">
        <v>46061</v>
      </c>
      <c r="H761" s="11" t="s">
        <v>2716</v>
      </c>
      <c r="I761" s="11" t="s">
        <v>552</v>
      </c>
      <c r="J761" s="11" t="s">
        <v>896</v>
      </c>
      <c r="K761" s="11" t="s">
        <v>50</v>
      </c>
      <c r="L761" s="23">
        <v>46082</v>
      </c>
      <c r="M761" s="11"/>
      <c r="N761" s="9" t="s">
        <v>2260</v>
      </c>
      <c r="O761" s="11" t="s">
        <v>31</v>
      </c>
      <c r="P761" s="16" t="s">
        <v>158</v>
      </c>
      <c r="Q761" s="11" t="s">
        <v>1602</v>
      </c>
    </row>
    <row r="762" spans="1:17" ht="66" x14ac:dyDescent="0.25">
      <c r="A762" s="13">
        <v>751</v>
      </c>
      <c r="B762" s="16" t="s">
        <v>2717</v>
      </c>
      <c r="C762" s="9">
        <v>15</v>
      </c>
      <c r="D762" s="9" t="str">
        <f t="shared" ca="1" si="14"/>
        <v>15 বছর 2 মাস 6 দিন</v>
      </c>
      <c r="E762" s="11" t="s">
        <v>2718</v>
      </c>
      <c r="F762" s="14">
        <v>31658</v>
      </c>
      <c r="G762" s="17">
        <v>46063</v>
      </c>
      <c r="H762" s="11" t="s">
        <v>2719</v>
      </c>
      <c r="I762" s="11" t="s">
        <v>48</v>
      </c>
      <c r="J762" s="11" t="s">
        <v>1063</v>
      </c>
      <c r="K762" s="11" t="s">
        <v>50</v>
      </c>
      <c r="L762" s="23">
        <v>46133</v>
      </c>
      <c r="M762" s="11"/>
      <c r="N762" s="9" t="s">
        <v>2260</v>
      </c>
      <c r="O762" s="11" t="s">
        <v>31</v>
      </c>
      <c r="P762" s="9" t="s">
        <v>441</v>
      </c>
      <c r="Q762" s="11"/>
    </row>
    <row r="763" spans="1:17" ht="66" x14ac:dyDescent="0.25">
      <c r="A763" s="13">
        <v>752</v>
      </c>
      <c r="B763" s="16" t="s">
        <v>2720</v>
      </c>
      <c r="C763" s="9">
        <v>14</v>
      </c>
      <c r="D763" s="9" t="str">
        <f t="shared" ca="1" si="14"/>
        <v>14 বছর 2 মাস 6 দিন</v>
      </c>
      <c r="E763" s="11" t="s">
        <v>2721</v>
      </c>
      <c r="F763" s="14">
        <v>31659</v>
      </c>
      <c r="G763" s="17">
        <v>46063</v>
      </c>
      <c r="H763" s="11" t="s">
        <v>2719</v>
      </c>
      <c r="I763" s="11" t="s">
        <v>48</v>
      </c>
      <c r="J763" s="11" t="s">
        <v>1063</v>
      </c>
      <c r="K763" s="11" t="s">
        <v>50</v>
      </c>
      <c r="L763" s="23">
        <v>46133</v>
      </c>
      <c r="M763" s="11"/>
      <c r="N763" s="9" t="s">
        <v>2260</v>
      </c>
      <c r="O763" s="11" t="s">
        <v>31</v>
      </c>
      <c r="P763" s="11" t="s">
        <v>192</v>
      </c>
      <c r="Q763" s="11"/>
    </row>
    <row r="764" spans="1:17" ht="66" x14ac:dyDescent="0.25">
      <c r="A764" s="13">
        <v>753</v>
      </c>
      <c r="B764" s="16" t="s">
        <v>2722</v>
      </c>
      <c r="C764" s="9">
        <v>17</v>
      </c>
      <c r="D764" s="9" t="str">
        <f t="shared" ref="D764:D827" ca="1" si="15">C764+DATEDIF(G764,TODAY(),"y")&amp;" "&amp;"বছর"&amp;" "&amp;DATEDIF(G764,TODAY(),"ym")&amp;" "&amp;"মাস"&amp;" "&amp;DATEDIF(G764,TODAY(),"md")&amp;" "&amp;"দিন"</f>
        <v>17 বছর 2 মাস 6 দিন</v>
      </c>
      <c r="E764" s="11" t="s">
        <v>2723</v>
      </c>
      <c r="F764" s="14">
        <v>31660</v>
      </c>
      <c r="G764" s="17">
        <v>46063</v>
      </c>
      <c r="H764" s="11" t="s">
        <v>2724</v>
      </c>
      <c r="I764" s="11" t="s">
        <v>432</v>
      </c>
      <c r="J764" s="11" t="s">
        <v>2725</v>
      </c>
      <c r="K764" s="11" t="s">
        <v>50</v>
      </c>
      <c r="L764" s="23">
        <v>46083</v>
      </c>
      <c r="M764" s="11"/>
      <c r="N764" s="9" t="s">
        <v>2260</v>
      </c>
      <c r="O764" s="11" t="s">
        <v>51</v>
      </c>
      <c r="P764" s="16" t="s">
        <v>158</v>
      </c>
      <c r="Q764" s="11" t="s">
        <v>1677</v>
      </c>
    </row>
    <row r="765" spans="1:17" ht="66" x14ac:dyDescent="0.25">
      <c r="A765" s="13">
        <v>754</v>
      </c>
      <c r="B765" s="16" t="s">
        <v>2726</v>
      </c>
      <c r="C765" s="9">
        <v>17</v>
      </c>
      <c r="D765" s="9" t="str">
        <f t="shared" ca="1" si="15"/>
        <v>17 বছর 2 মাস 6 দিন</v>
      </c>
      <c r="E765" s="11" t="s">
        <v>2727</v>
      </c>
      <c r="F765" s="14">
        <v>31661</v>
      </c>
      <c r="G765" s="17">
        <v>46063</v>
      </c>
      <c r="H765" s="11" t="s">
        <v>2728</v>
      </c>
      <c r="I765" s="11" t="s">
        <v>964</v>
      </c>
      <c r="J765" s="11" t="s">
        <v>1623</v>
      </c>
      <c r="K765" s="11" t="s">
        <v>50</v>
      </c>
      <c r="L765" s="23">
        <v>46113</v>
      </c>
      <c r="M765" s="11"/>
      <c r="N765" s="9" t="s">
        <v>2260</v>
      </c>
      <c r="O765" s="11" t="s">
        <v>110</v>
      </c>
      <c r="P765" s="11" t="s">
        <v>217</v>
      </c>
      <c r="Q765" s="11"/>
    </row>
    <row r="766" spans="1:17" ht="66" x14ac:dyDescent="0.25">
      <c r="A766" s="13">
        <v>755</v>
      </c>
      <c r="B766" s="16" t="s">
        <v>2729</v>
      </c>
      <c r="C766" s="9">
        <v>16</v>
      </c>
      <c r="D766" s="9" t="str">
        <f t="shared" ca="1" si="15"/>
        <v>16 বছর 2 মাস 2 দিন</v>
      </c>
      <c r="E766" s="11" t="s">
        <v>2730</v>
      </c>
      <c r="F766" s="14">
        <v>31662</v>
      </c>
      <c r="G766" s="17">
        <v>46067</v>
      </c>
      <c r="H766" s="11" t="s">
        <v>2731</v>
      </c>
      <c r="I766" s="11" t="s">
        <v>38</v>
      </c>
      <c r="J766" s="11" t="s">
        <v>2732</v>
      </c>
      <c r="K766" s="11" t="s">
        <v>50</v>
      </c>
      <c r="L766" s="23">
        <v>46070</v>
      </c>
      <c r="M766" s="11"/>
      <c r="N766" s="9" t="s">
        <v>2260</v>
      </c>
      <c r="O766" s="11" t="s">
        <v>100</v>
      </c>
      <c r="P766" s="16" t="s">
        <v>158</v>
      </c>
      <c r="Q766" s="11" t="s">
        <v>819</v>
      </c>
    </row>
    <row r="767" spans="1:17" ht="66" x14ac:dyDescent="0.25">
      <c r="A767" s="13">
        <v>756</v>
      </c>
      <c r="B767" s="16" t="s">
        <v>2733</v>
      </c>
      <c r="C767" s="9">
        <v>17</v>
      </c>
      <c r="D767" s="9" t="str">
        <f t="shared" ca="1" si="15"/>
        <v>17 বছর 2 মাস 2 দিন</v>
      </c>
      <c r="E767" s="11" t="s">
        <v>2734</v>
      </c>
      <c r="F767" s="14">
        <v>31663</v>
      </c>
      <c r="G767" s="17">
        <v>46067</v>
      </c>
      <c r="H767" s="11" t="s">
        <v>2735</v>
      </c>
      <c r="I767" s="11" t="s">
        <v>265</v>
      </c>
      <c r="J767" s="11" t="s">
        <v>2562</v>
      </c>
      <c r="K767" s="11" t="s">
        <v>50</v>
      </c>
      <c r="L767" s="23">
        <v>46099</v>
      </c>
      <c r="M767" s="11"/>
      <c r="N767" s="9" t="s">
        <v>2260</v>
      </c>
      <c r="O767" s="11" t="s">
        <v>110</v>
      </c>
      <c r="P767" s="11" t="s">
        <v>69</v>
      </c>
      <c r="Q767" s="11"/>
    </row>
    <row r="768" spans="1:17" ht="66" x14ac:dyDescent="0.25">
      <c r="A768" s="13">
        <v>757</v>
      </c>
      <c r="B768" s="16" t="s">
        <v>2736</v>
      </c>
      <c r="C768" s="9">
        <v>16</v>
      </c>
      <c r="D768" s="9" t="str">
        <f t="shared" ca="1" si="15"/>
        <v>16 বছর 2 মাস 2 দিন</v>
      </c>
      <c r="E768" s="11" t="s">
        <v>2737</v>
      </c>
      <c r="F768" s="14">
        <v>31664</v>
      </c>
      <c r="G768" s="17">
        <v>46067</v>
      </c>
      <c r="H768" s="11" t="s">
        <v>2738</v>
      </c>
      <c r="I768" s="11" t="s">
        <v>27</v>
      </c>
      <c r="J768" s="11" t="s">
        <v>2739</v>
      </c>
      <c r="K768" s="11" t="s">
        <v>50</v>
      </c>
      <c r="L768" s="23">
        <v>46072</v>
      </c>
      <c r="M768" s="11"/>
      <c r="N768" s="9" t="s">
        <v>2260</v>
      </c>
      <c r="O768" s="11" t="s">
        <v>51</v>
      </c>
      <c r="P768" s="11" t="s">
        <v>94</v>
      </c>
      <c r="Q768" s="11"/>
    </row>
    <row r="769" spans="1:17" ht="66" x14ac:dyDescent="0.25">
      <c r="A769" s="13">
        <v>758</v>
      </c>
      <c r="B769" s="16" t="s">
        <v>2740</v>
      </c>
      <c r="C769" s="9">
        <v>19</v>
      </c>
      <c r="D769" s="9" t="str">
        <f t="shared" ca="1" si="15"/>
        <v>19 বছর 2 মাস 2 দিন</v>
      </c>
      <c r="E769" s="11" t="s">
        <v>2741</v>
      </c>
      <c r="F769" s="14">
        <v>31665</v>
      </c>
      <c r="G769" s="17">
        <v>46067</v>
      </c>
      <c r="H769" s="11" t="s">
        <v>2742</v>
      </c>
      <c r="I769" s="11" t="s">
        <v>38</v>
      </c>
      <c r="J769" s="11" t="s">
        <v>1209</v>
      </c>
      <c r="K769" s="11" t="s">
        <v>50</v>
      </c>
      <c r="L769" s="23">
        <v>46076</v>
      </c>
      <c r="M769" s="11"/>
      <c r="N769" s="9" t="s">
        <v>2260</v>
      </c>
      <c r="O769" s="11" t="s">
        <v>34</v>
      </c>
      <c r="P769" s="11" t="s">
        <v>57</v>
      </c>
      <c r="Q769" s="11"/>
    </row>
    <row r="770" spans="1:17" ht="82.5" x14ac:dyDescent="0.25">
      <c r="A770" s="13">
        <v>759</v>
      </c>
      <c r="B770" s="16" t="s">
        <v>2743</v>
      </c>
      <c r="C770" s="9">
        <v>15</v>
      </c>
      <c r="D770" s="9" t="str">
        <f t="shared" ca="1" si="15"/>
        <v>15 বছর 2 মাস 1 দিন</v>
      </c>
      <c r="E770" s="11" t="s">
        <v>2744</v>
      </c>
      <c r="F770" s="14">
        <v>31666</v>
      </c>
      <c r="G770" s="17">
        <v>46068</v>
      </c>
      <c r="H770" s="11" t="s">
        <v>2745</v>
      </c>
      <c r="I770" s="11" t="s">
        <v>265</v>
      </c>
      <c r="J770" s="11" t="s">
        <v>1256</v>
      </c>
      <c r="K770" s="11" t="s">
        <v>50</v>
      </c>
      <c r="L770" s="23">
        <v>46076</v>
      </c>
      <c r="M770" s="11"/>
      <c r="N770" s="9" t="s">
        <v>2260</v>
      </c>
      <c r="O770" s="11" t="s">
        <v>2132</v>
      </c>
      <c r="P770" s="11" t="s">
        <v>402</v>
      </c>
      <c r="Q770" s="11"/>
    </row>
    <row r="771" spans="1:17" ht="66" x14ac:dyDescent="0.25">
      <c r="A771" s="13">
        <v>760</v>
      </c>
      <c r="B771" s="16" t="s">
        <v>2746</v>
      </c>
      <c r="C771" s="9">
        <v>16</v>
      </c>
      <c r="D771" s="9" t="str">
        <f t="shared" ca="1" si="15"/>
        <v>16 বছর 2 মাস 1 দিন</v>
      </c>
      <c r="E771" s="11" t="s">
        <v>2747</v>
      </c>
      <c r="F771" s="14">
        <v>31667</v>
      </c>
      <c r="G771" s="17">
        <v>46068</v>
      </c>
      <c r="H771" s="11" t="s">
        <v>2748</v>
      </c>
      <c r="I771" s="11" t="s">
        <v>265</v>
      </c>
      <c r="J771" s="11" t="s">
        <v>1200</v>
      </c>
      <c r="K771" s="11" t="s">
        <v>50</v>
      </c>
      <c r="L771" s="23">
        <v>46096</v>
      </c>
      <c r="M771" s="11"/>
      <c r="N771" s="9" t="s">
        <v>2260</v>
      </c>
      <c r="O771" s="11" t="s">
        <v>2132</v>
      </c>
      <c r="P771" s="16" t="s">
        <v>158</v>
      </c>
      <c r="Q771" s="11" t="s">
        <v>288</v>
      </c>
    </row>
    <row r="772" spans="1:17" ht="82.5" x14ac:dyDescent="0.25">
      <c r="A772" s="13">
        <v>761</v>
      </c>
      <c r="B772" s="16" t="s">
        <v>2749</v>
      </c>
      <c r="C772" s="9">
        <v>16</v>
      </c>
      <c r="D772" s="9" t="str">
        <f t="shared" ca="1" si="15"/>
        <v>16 বছর 2 মাস 1 দিন</v>
      </c>
      <c r="E772" s="11" t="s">
        <v>2750</v>
      </c>
      <c r="F772" s="14">
        <v>31668</v>
      </c>
      <c r="G772" s="17">
        <v>46068</v>
      </c>
      <c r="H772" s="11" t="s">
        <v>2748</v>
      </c>
      <c r="I772" s="11" t="s">
        <v>265</v>
      </c>
      <c r="J772" s="11" t="s">
        <v>1200</v>
      </c>
      <c r="K772" s="11" t="s">
        <v>50</v>
      </c>
      <c r="L772" s="23">
        <v>46096</v>
      </c>
      <c r="M772" s="11"/>
      <c r="N772" s="9" t="s">
        <v>2260</v>
      </c>
      <c r="O772" s="11" t="s">
        <v>2132</v>
      </c>
      <c r="P772" s="11" t="s">
        <v>402</v>
      </c>
      <c r="Q772" s="11"/>
    </row>
    <row r="773" spans="1:17" ht="82.5" x14ac:dyDescent="0.25">
      <c r="A773" s="13">
        <v>762</v>
      </c>
      <c r="B773" s="16" t="s">
        <v>2751</v>
      </c>
      <c r="C773" s="9">
        <v>16</v>
      </c>
      <c r="D773" s="9" t="str">
        <f t="shared" ca="1" si="15"/>
        <v>16 বছর 2 মাস 1 দিন</v>
      </c>
      <c r="E773" s="11" t="s">
        <v>2747</v>
      </c>
      <c r="F773" s="14">
        <v>31669</v>
      </c>
      <c r="G773" s="17">
        <v>46068</v>
      </c>
      <c r="H773" s="11" t="s">
        <v>2748</v>
      </c>
      <c r="I773" s="11" t="s">
        <v>265</v>
      </c>
      <c r="J773" s="11" t="s">
        <v>1200</v>
      </c>
      <c r="K773" s="11" t="s">
        <v>50</v>
      </c>
      <c r="L773" s="23">
        <v>46096</v>
      </c>
      <c r="M773" s="11"/>
      <c r="N773" s="9" t="s">
        <v>2260</v>
      </c>
      <c r="O773" s="11" t="s">
        <v>2132</v>
      </c>
      <c r="P773" s="11" t="s">
        <v>402</v>
      </c>
      <c r="Q773" s="11"/>
    </row>
    <row r="774" spans="1:17" ht="82.5" x14ac:dyDescent="0.25">
      <c r="A774" s="13">
        <v>763</v>
      </c>
      <c r="B774" s="16" t="s">
        <v>2752</v>
      </c>
      <c r="C774" s="9">
        <v>15</v>
      </c>
      <c r="D774" s="9" t="str">
        <f t="shared" ca="1" si="15"/>
        <v>15 বছর 2 মাস 1 দিন</v>
      </c>
      <c r="E774" s="11" t="s">
        <v>2750</v>
      </c>
      <c r="F774" s="14">
        <v>31670</v>
      </c>
      <c r="G774" s="17">
        <v>46068</v>
      </c>
      <c r="H774" s="11" t="s">
        <v>2748</v>
      </c>
      <c r="I774" s="11" t="s">
        <v>265</v>
      </c>
      <c r="J774" s="11" t="s">
        <v>1200</v>
      </c>
      <c r="K774" s="11" t="s">
        <v>50</v>
      </c>
      <c r="L774" s="23">
        <v>46096</v>
      </c>
      <c r="M774" s="11"/>
      <c r="N774" s="9" t="s">
        <v>2260</v>
      </c>
      <c r="O774" s="11" t="s">
        <v>2132</v>
      </c>
      <c r="P774" s="11" t="s">
        <v>402</v>
      </c>
      <c r="Q774" s="11"/>
    </row>
    <row r="775" spans="1:17" ht="82.5" x14ac:dyDescent="0.25">
      <c r="A775" s="13">
        <v>764</v>
      </c>
      <c r="B775" s="16" t="s">
        <v>2753</v>
      </c>
      <c r="C775" s="9">
        <v>17</v>
      </c>
      <c r="D775" s="9" t="str">
        <f t="shared" ca="1" si="15"/>
        <v>17 বছর 2 মাস 1 দিন</v>
      </c>
      <c r="E775" s="11" t="s">
        <v>2754</v>
      </c>
      <c r="F775" s="14">
        <v>31671</v>
      </c>
      <c r="G775" s="17">
        <v>46068</v>
      </c>
      <c r="H775" s="11" t="s">
        <v>2755</v>
      </c>
      <c r="I775" s="11" t="s">
        <v>27</v>
      </c>
      <c r="J775" s="11" t="s">
        <v>2756</v>
      </c>
      <c r="K775" s="11" t="s">
        <v>50</v>
      </c>
      <c r="L775" s="23" t="s">
        <v>2757</v>
      </c>
      <c r="M775" s="11"/>
      <c r="N775" s="9" t="s">
        <v>2260</v>
      </c>
      <c r="O775" s="11" t="s">
        <v>2132</v>
      </c>
      <c r="P775" s="11" t="s">
        <v>402</v>
      </c>
      <c r="Q775" s="11"/>
    </row>
    <row r="776" spans="1:17" ht="82.5" x14ac:dyDescent="0.25">
      <c r="A776" s="13">
        <v>765</v>
      </c>
      <c r="B776" s="16" t="s">
        <v>2758</v>
      </c>
      <c r="C776" s="9">
        <v>17</v>
      </c>
      <c r="D776" s="9" t="str">
        <f t="shared" ca="1" si="15"/>
        <v>17 বছর 2 মাস 1 দিন</v>
      </c>
      <c r="E776" s="11" t="s">
        <v>2759</v>
      </c>
      <c r="F776" s="14">
        <v>31672</v>
      </c>
      <c r="G776" s="17">
        <v>46068</v>
      </c>
      <c r="H776" s="11" t="s">
        <v>2760</v>
      </c>
      <c r="I776" s="11" t="s">
        <v>27</v>
      </c>
      <c r="J776" s="11" t="s">
        <v>2599</v>
      </c>
      <c r="K776" s="11" t="s">
        <v>50</v>
      </c>
      <c r="L776" s="23">
        <v>46149</v>
      </c>
      <c r="M776" s="11"/>
      <c r="N776" s="9" t="s">
        <v>2260</v>
      </c>
      <c r="O776" s="11" t="s">
        <v>2132</v>
      </c>
      <c r="P776" s="11" t="s">
        <v>402</v>
      </c>
      <c r="Q776" s="11"/>
    </row>
    <row r="777" spans="1:17" ht="82.5" x14ac:dyDescent="0.25">
      <c r="A777" s="13">
        <v>766</v>
      </c>
      <c r="B777" s="16" t="s">
        <v>2761</v>
      </c>
      <c r="C777" s="9">
        <v>19</v>
      </c>
      <c r="D777" s="9" t="str">
        <f t="shared" ca="1" si="15"/>
        <v>19 বছর 2 মাস 1 দিন</v>
      </c>
      <c r="E777" s="11" t="s">
        <v>2762</v>
      </c>
      <c r="F777" s="14">
        <v>31673</v>
      </c>
      <c r="G777" s="17">
        <v>46068</v>
      </c>
      <c r="H777" s="11" t="s">
        <v>2763</v>
      </c>
      <c r="I777" s="11" t="s">
        <v>27</v>
      </c>
      <c r="J777" s="11" t="s">
        <v>2756</v>
      </c>
      <c r="K777" s="11" t="s">
        <v>50</v>
      </c>
      <c r="L777" s="23">
        <v>46086</v>
      </c>
      <c r="M777" s="11"/>
      <c r="N777" s="9" t="s">
        <v>2260</v>
      </c>
      <c r="O777" s="11" t="s">
        <v>2132</v>
      </c>
      <c r="P777" s="11" t="s">
        <v>402</v>
      </c>
      <c r="Q777" s="11"/>
    </row>
    <row r="778" spans="1:17" ht="82.5" x14ac:dyDescent="0.25">
      <c r="A778" s="13">
        <v>767</v>
      </c>
      <c r="B778" s="16" t="s">
        <v>2764</v>
      </c>
      <c r="C778" s="9">
        <v>18</v>
      </c>
      <c r="D778" s="9" t="str">
        <f t="shared" ca="1" si="15"/>
        <v>18 বছর 2 মাস 1 দিন</v>
      </c>
      <c r="E778" s="11" t="s">
        <v>2765</v>
      </c>
      <c r="F778" s="14">
        <v>31674</v>
      </c>
      <c r="G778" s="17">
        <v>46068</v>
      </c>
      <c r="H778" s="11" t="s">
        <v>2766</v>
      </c>
      <c r="I778" s="11" t="s">
        <v>265</v>
      </c>
      <c r="J778" s="11" t="s">
        <v>2767</v>
      </c>
      <c r="K778" s="11" t="s">
        <v>50</v>
      </c>
      <c r="L778" s="23">
        <v>46084</v>
      </c>
      <c r="M778" s="11"/>
      <c r="N778" s="9" t="s">
        <v>2260</v>
      </c>
      <c r="O778" s="11" t="s">
        <v>2132</v>
      </c>
      <c r="P778" s="11" t="s">
        <v>402</v>
      </c>
      <c r="Q778" s="11"/>
    </row>
    <row r="779" spans="1:17" ht="66" x14ac:dyDescent="0.25">
      <c r="A779" s="13">
        <v>768</v>
      </c>
      <c r="B779" s="16" t="s">
        <v>2768</v>
      </c>
      <c r="C779" s="9">
        <v>17</v>
      </c>
      <c r="D779" s="9" t="str">
        <f t="shared" ca="1" si="15"/>
        <v>17 বছর 2 মাস 1 দিন</v>
      </c>
      <c r="E779" s="11" t="s">
        <v>2769</v>
      </c>
      <c r="F779" s="14">
        <v>31675</v>
      </c>
      <c r="G779" s="17">
        <v>46068</v>
      </c>
      <c r="H779" s="11" t="s">
        <v>2770</v>
      </c>
      <c r="I779" s="11"/>
      <c r="J779" s="11" t="s">
        <v>2767</v>
      </c>
      <c r="K779" s="11" t="s">
        <v>50</v>
      </c>
      <c r="L779" s="23">
        <v>46117</v>
      </c>
      <c r="M779" s="11"/>
      <c r="N779" s="9" t="s">
        <v>2260</v>
      </c>
      <c r="O779" s="11" t="s">
        <v>2132</v>
      </c>
      <c r="P779" s="16" t="s">
        <v>158</v>
      </c>
      <c r="Q779" s="11" t="s">
        <v>2331</v>
      </c>
    </row>
    <row r="780" spans="1:17" ht="82.5" x14ac:dyDescent="0.25">
      <c r="A780" s="13">
        <v>769</v>
      </c>
      <c r="B780" s="16" t="s">
        <v>2771</v>
      </c>
      <c r="C780" s="9">
        <v>16</v>
      </c>
      <c r="D780" s="9" t="str">
        <f t="shared" ca="1" si="15"/>
        <v>16 বছর 2 মাস 1 দিন</v>
      </c>
      <c r="E780" s="11" t="s">
        <v>2772</v>
      </c>
      <c r="F780" s="14">
        <v>31676</v>
      </c>
      <c r="G780" s="17">
        <v>46068</v>
      </c>
      <c r="H780" s="11" t="s">
        <v>2773</v>
      </c>
      <c r="I780" s="11" t="s">
        <v>27</v>
      </c>
      <c r="J780" s="11" t="s">
        <v>2774</v>
      </c>
      <c r="K780" s="11" t="s">
        <v>50</v>
      </c>
      <c r="L780" s="23"/>
      <c r="M780" s="11"/>
      <c r="N780" s="9" t="s">
        <v>2260</v>
      </c>
      <c r="O780" s="11" t="s">
        <v>2132</v>
      </c>
      <c r="P780" s="11" t="s">
        <v>402</v>
      </c>
      <c r="Q780" s="11"/>
    </row>
    <row r="781" spans="1:17" ht="82.5" x14ac:dyDescent="0.25">
      <c r="A781" s="13">
        <v>770</v>
      </c>
      <c r="B781" s="16" t="s">
        <v>2775</v>
      </c>
      <c r="C781" s="9">
        <v>16</v>
      </c>
      <c r="D781" s="9" t="str">
        <f t="shared" ca="1" si="15"/>
        <v>16 বছর 2 মাস 1 দিন</v>
      </c>
      <c r="E781" s="11" t="s">
        <v>2776</v>
      </c>
      <c r="F781" s="14">
        <v>31677</v>
      </c>
      <c r="G781" s="17">
        <v>46068</v>
      </c>
      <c r="H781" s="11" t="s">
        <v>2777</v>
      </c>
      <c r="I781" s="11" t="s">
        <v>27</v>
      </c>
      <c r="J781" s="11" t="s">
        <v>2778</v>
      </c>
      <c r="K781" s="11" t="s">
        <v>50</v>
      </c>
      <c r="L781" s="23">
        <v>46086</v>
      </c>
      <c r="M781" s="11"/>
      <c r="N781" s="9" t="s">
        <v>2260</v>
      </c>
      <c r="O781" s="11" t="s">
        <v>2132</v>
      </c>
      <c r="P781" s="11" t="s">
        <v>402</v>
      </c>
      <c r="Q781" s="11"/>
    </row>
    <row r="782" spans="1:17" ht="82.5" x14ac:dyDescent="0.25">
      <c r="A782" s="13">
        <v>771</v>
      </c>
      <c r="B782" s="16" t="s">
        <v>2779</v>
      </c>
      <c r="C782" s="9">
        <v>15</v>
      </c>
      <c r="D782" s="9" t="str">
        <f t="shared" ca="1" si="15"/>
        <v>15 বছর 2 মাস 1 দিন</v>
      </c>
      <c r="E782" s="11" t="s">
        <v>2780</v>
      </c>
      <c r="F782" s="14">
        <v>31678</v>
      </c>
      <c r="G782" s="17">
        <v>46068</v>
      </c>
      <c r="H782" s="11" t="s">
        <v>2781</v>
      </c>
      <c r="I782" s="11" t="s">
        <v>48</v>
      </c>
      <c r="J782" s="11" t="s">
        <v>2782</v>
      </c>
      <c r="K782" s="11" t="s">
        <v>50</v>
      </c>
      <c r="L782" s="23"/>
      <c r="M782" s="11"/>
      <c r="N782" s="9" t="s">
        <v>2260</v>
      </c>
      <c r="O782" s="11" t="s">
        <v>2132</v>
      </c>
      <c r="P782" s="11" t="s">
        <v>402</v>
      </c>
      <c r="Q782" s="11"/>
    </row>
    <row r="783" spans="1:17" ht="82.5" x14ac:dyDescent="0.25">
      <c r="A783" s="13">
        <v>772</v>
      </c>
      <c r="B783" s="16" t="s">
        <v>2783</v>
      </c>
      <c r="C783" s="9">
        <v>15</v>
      </c>
      <c r="D783" s="9" t="str">
        <f t="shared" ca="1" si="15"/>
        <v>15 বছর 2 মাস 0 দিন</v>
      </c>
      <c r="E783" s="11" t="s">
        <v>2784</v>
      </c>
      <c r="F783" s="14">
        <v>31679</v>
      </c>
      <c r="G783" s="17">
        <v>46069</v>
      </c>
      <c r="H783" s="11" t="s">
        <v>2785</v>
      </c>
      <c r="I783" s="11" t="s">
        <v>48</v>
      </c>
      <c r="J783" s="11" t="s">
        <v>1905</v>
      </c>
      <c r="K783" s="11" t="s">
        <v>50</v>
      </c>
      <c r="L783" s="23">
        <v>46146</v>
      </c>
      <c r="M783" s="11"/>
      <c r="N783" s="9" t="s">
        <v>2260</v>
      </c>
      <c r="O783" s="11" t="s">
        <v>2132</v>
      </c>
      <c r="P783" s="11" t="s">
        <v>402</v>
      </c>
      <c r="Q783" s="11"/>
    </row>
    <row r="784" spans="1:17" ht="82.5" x14ac:dyDescent="0.25">
      <c r="A784" s="13">
        <v>773</v>
      </c>
      <c r="B784" s="16" t="s">
        <v>2786</v>
      </c>
      <c r="C784" s="9">
        <v>17</v>
      </c>
      <c r="D784" s="9" t="str">
        <f t="shared" ca="1" si="15"/>
        <v>17 বছর 2 মাস 0 দিন</v>
      </c>
      <c r="E784" s="11" t="s">
        <v>2787</v>
      </c>
      <c r="F784" s="14">
        <v>31680</v>
      </c>
      <c r="G784" s="17">
        <v>46069</v>
      </c>
      <c r="H784" s="11" t="s">
        <v>2785</v>
      </c>
      <c r="I784" s="11" t="s">
        <v>48</v>
      </c>
      <c r="J784" s="11" t="s">
        <v>1905</v>
      </c>
      <c r="K784" s="11" t="s">
        <v>50</v>
      </c>
      <c r="L784" s="23">
        <v>46146</v>
      </c>
      <c r="M784" s="11"/>
      <c r="N784" s="9" t="s">
        <v>2260</v>
      </c>
      <c r="O784" s="11" t="s">
        <v>2132</v>
      </c>
      <c r="P784" s="11" t="s">
        <v>402</v>
      </c>
      <c r="Q784" s="11"/>
    </row>
    <row r="785" spans="1:17" ht="82.5" x14ac:dyDescent="0.25">
      <c r="A785" s="13">
        <v>774</v>
      </c>
      <c r="B785" s="16" t="s">
        <v>2788</v>
      </c>
      <c r="C785" s="9">
        <v>16</v>
      </c>
      <c r="D785" s="9" t="str">
        <f t="shared" ca="1" si="15"/>
        <v>16 বছর 2 মাস 0 দিন</v>
      </c>
      <c r="E785" s="11" t="s">
        <v>2789</v>
      </c>
      <c r="F785" s="14">
        <v>31681</v>
      </c>
      <c r="G785" s="17">
        <v>46069</v>
      </c>
      <c r="H785" s="11" t="s">
        <v>2790</v>
      </c>
      <c r="I785" s="11" t="s">
        <v>38</v>
      </c>
      <c r="J785" s="11" t="s">
        <v>1623</v>
      </c>
      <c r="K785" s="11" t="s">
        <v>50</v>
      </c>
      <c r="L785" s="23">
        <v>46121</v>
      </c>
      <c r="M785" s="11"/>
      <c r="N785" s="9" t="s">
        <v>2260</v>
      </c>
      <c r="O785" s="11" t="s">
        <v>2132</v>
      </c>
      <c r="P785" s="16" t="s">
        <v>158</v>
      </c>
      <c r="Q785" s="11" t="s">
        <v>288</v>
      </c>
    </row>
    <row r="786" spans="1:17" ht="82.5" x14ac:dyDescent="0.25">
      <c r="A786" s="13">
        <v>775</v>
      </c>
      <c r="B786" s="16" t="s">
        <v>2791</v>
      </c>
      <c r="C786" s="9">
        <v>17</v>
      </c>
      <c r="D786" s="9" t="str">
        <f t="shared" ca="1" si="15"/>
        <v>17 বছর 2 মাস 0 দিন</v>
      </c>
      <c r="E786" s="11" t="s">
        <v>2792</v>
      </c>
      <c r="F786" s="14">
        <v>31682</v>
      </c>
      <c r="G786" s="17">
        <v>46069</v>
      </c>
      <c r="H786" s="11" t="s">
        <v>2793</v>
      </c>
      <c r="I786" s="11"/>
      <c r="J786" s="11" t="s">
        <v>882</v>
      </c>
      <c r="K786" s="11" t="s">
        <v>50</v>
      </c>
      <c r="L786" s="23">
        <v>46072</v>
      </c>
      <c r="M786" s="11"/>
      <c r="N786" s="9" t="s">
        <v>2260</v>
      </c>
      <c r="O786" s="11" t="s">
        <v>2132</v>
      </c>
      <c r="P786" s="11" t="s">
        <v>402</v>
      </c>
      <c r="Q786" s="11"/>
    </row>
    <row r="787" spans="1:17" ht="82.5" x14ac:dyDescent="0.25">
      <c r="A787" s="13">
        <v>776</v>
      </c>
      <c r="B787" s="16" t="s">
        <v>2794</v>
      </c>
      <c r="C787" s="9">
        <v>17</v>
      </c>
      <c r="D787" s="9" t="str">
        <f t="shared" ca="1" si="15"/>
        <v>17 বছর 2 মাস 0 দিন</v>
      </c>
      <c r="E787" s="11" t="s">
        <v>2795</v>
      </c>
      <c r="F787" s="14">
        <v>31683</v>
      </c>
      <c r="G787" s="17">
        <v>46069</v>
      </c>
      <c r="H787" s="11" t="s">
        <v>2796</v>
      </c>
      <c r="I787" s="11" t="s">
        <v>2797</v>
      </c>
      <c r="J787" s="11" t="s">
        <v>1200</v>
      </c>
      <c r="K787" s="11" t="s">
        <v>50</v>
      </c>
      <c r="L787" s="23">
        <v>46131</v>
      </c>
      <c r="M787" s="11"/>
      <c r="N787" s="9" t="s">
        <v>2260</v>
      </c>
      <c r="O787" s="11" t="s">
        <v>2132</v>
      </c>
      <c r="P787" s="11" t="s">
        <v>402</v>
      </c>
      <c r="Q787" s="11"/>
    </row>
    <row r="788" spans="1:17" ht="82.5" x14ac:dyDescent="0.25">
      <c r="A788" s="13">
        <v>777</v>
      </c>
      <c r="B788" s="16" t="s">
        <v>2798</v>
      </c>
      <c r="C788" s="9">
        <v>17</v>
      </c>
      <c r="D788" s="9" t="str">
        <f t="shared" ca="1" si="15"/>
        <v>17 বছর 2 মাস 0 দিন</v>
      </c>
      <c r="E788" s="11" t="s">
        <v>2799</v>
      </c>
      <c r="F788" s="14">
        <v>31684</v>
      </c>
      <c r="G788" s="17">
        <v>46069</v>
      </c>
      <c r="H788" s="11" t="s">
        <v>2796</v>
      </c>
      <c r="I788" s="11" t="s">
        <v>2797</v>
      </c>
      <c r="J788" s="11" t="s">
        <v>1200</v>
      </c>
      <c r="K788" s="11" t="s">
        <v>50</v>
      </c>
      <c r="L788" s="23">
        <v>46131</v>
      </c>
      <c r="M788" s="11"/>
      <c r="N788" s="9" t="s">
        <v>2260</v>
      </c>
      <c r="O788" s="11" t="s">
        <v>2132</v>
      </c>
      <c r="P788" s="11" t="s">
        <v>402</v>
      </c>
      <c r="Q788" s="11"/>
    </row>
    <row r="789" spans="1:17" ht="82.5" x14ac:dyDescent="0.25">
      <c r="A789" s="13">
        <v>778</v>
      </c>
      <c r="B789" s="16" t="s">
        <v>2800</v>
      </c>
      <c r="C789" s="9">
        <v>16</v>
      </c>
      <c r="D789" s="9" t="str">
        <f t="shared" ca="1" si="15"/>
        <v>16 বছর 2 মাস 0 দিন</v>
      </c>
      <c r="E789" s="11" t="s">
        <v>2801</v>
      </c>
      <c r="F789" s="14">
        <v>31685</v>
      </c>
      <c r="G789" s="17">
        <v>46069</v>
      </c>
      <c r="H789" s="11" t="s">
        <v>2802</v>
      </c>
      <c r="I789" s="11" t="s">
        <v>48</v>
      </c>
      <c r="J789" s="11" t="s">
        <v>2324</v>
      </c>
      <c r="K789" s="11" t="s">
        <v>50</v>
      </c>
      <c r="L789" s="23">
        <v>46131</v>
      </c>
      <c r="M789" s="11"/>
      <c r="N789" s="9" t="s">
        <v>2260</v>
      </c>
      <c r="O789" s="11" t="s">
        <v>2132</v>
      </c>
      <c r="P789" s="11" t="s">
        <v>402</v>
      </c>
      <c r="Q789" s="11"/>
    </row>
    <row r="790" spans="1:17" ht="66" x14ac:dyDescent="0.25">
      <c r="A790" s="13">
        <v>779</v>
      </c>
      <c r="B790" s="16" t="s">
        <v>2803</v>
      </c>
      <c r="C790" s="9">
        <v>17</v>
      </c>
      <c r="D790" s="9" t="str">
        <f t="shared" ca="1" si="15"/>
        <v>17 বছর 1 মাস 30 দিন</v>
      </c>
      <c r="E790" s="11" t="s">
        <v>2804</v>
      </c>
      <c r="F790" s="14">
        <v>31686</v>
      </c>
      <c r="G790" s="17">
        <v>46070</v>
      </c>
      <c r="H790" s="11" t="s">
        <v>2805</v>
      </c>
      <c r="I790" s="11" t="s">
        <v>432</v>
      </c>
      <c r="J790" s="11" t="s">
        <v>1350</v>
      </c>
      <c r="K790" s="11" t="s">
        <v>50</v>
      </c>
      <c r="L790" s="23"/>
      <c r="M790" s="11"/>
      <c r="N790" s="9" t="s">
        <v>2260</v>
      </c>
      <c r="O790" s="11" t="s">
        <v>2132</v>
      </c>
      <c r="P790" s="16" t="s">
        <v>158</v>
      </c>
      <c r="Q790" s="11" t="s">
        <v>761</v>
      </c>
    </row>
    <row r="791" spans="1:17" ht="66" x14ac:dyDescent="0.25">
      <c r="A791" s="13">
        <v>780</v>
      </c>
      <c r="B791" s="16" t="s">
        <v>2806</v>
      </c>
      <c r="C791" s="9">
        <v>15</v>
      </c>
      <c r="D791" s="9" t="str">
        <f t="shared" ca="1" si="15"/>
        <v>15 বছর 1 মাস 30 দিন</v>
      </c>
      <c r="E791" s="11" t="s">
        <v>2807</v>
      </c>
      <c r="F791" s="14">
        <v>31687</v>
      </c>
      <c r="G791" s="17">
        <v>46070</v>
      </c>
      <c r="H791" s="11" t="s">
        <v>2808</v>
      </c>
      <c r="I791" s="11" t="s">
        <v>27</v>
      </c>
      <c r="J791" s="11" t="s">
        <v>2402</v>
      </c>
      <c r="K791" s="11" t="s">
        <v>50</v>
      </c>
      <c r="L791" s="23">
        <v>46065</v>
      </c>
      <c r="M791" s="11"/>
      <c r="N791" s="9" t="s">
        <v>2260</v>
      </c>
      <c r="O791" s="11" t="s">
        <v>2132</v>
      </c>
      <c r="P791" s="16" t="s">
        <v>158</v>
      </c>
      <c r="Q791" s="11" t="s">
        <v>1787</v>
      </c>
    </row>
    <row r="792" spans="1:17" ht="82.5" x14ac:dyDescent="0.25">
      <c r="A792" s="13">
        <v>781</v>
      </c>
      <c r="B792" s="16" t="s">
        <v>2809</v>
      </c>
      <c r="C792" s="9">
        <v>17</v>
      </c>
      <c r="D792" s="9" t="str">
        <f t="shared" ca="1" si="15"/>
        <v>17 বছর 1 মাস 30 দিন</v>
      </c>
      <c r="E792" s="11" t="s">
        <v>2810</v>
      </c>
      <c r="F792" s="14">
        <v>31688</v>
      </c>
      <c r="G792" s="17">
        <v>46070</v>
      </c>
      <c r="H792" s="11" t="s">
        <v>2811</v>
      </c>
      <c r="I792" s="11" t="s">
        <v>27</v>
      </c>
      <c r="J792" s="11" t="s">
        <v>2725</v>
      </c>
      <c r="K792" s="11" t="s">
        <v>50</v>
      </c>
      <c r="L792" s="23"/>
      <c r="M792" s="11"/>
      <c r="N792" s="9" t="s">
        <v>2260</v>
      </c>
      <c r="O792" s="11" t="s">
        <v>2132</v>
      </c>
      <c r="P792" s="11" t="s">
        <v>402</v>
      </c>
      <c r="Q792" s="11"/>
    </row>
    <row r="793" spans="1:17" ht="66" x14ac:dyDescent="0.25">
      <c r="A793" s="13">
        <v>782</v>
      </c>
      <c r="B793" s="16" t="s">
        <v>2812</v>
      </c>
      <c r="C793" s="9">
        <v>16</v>
      </c>
      <c r="D793" s="9" t="str">
        <f t="shared" ca="1" si="15"/>
        <v>16 বছর 1 মাস 30 দিন</v>
      </c>
      <c r="E793" s="11" t="s">
        <v>2813</v>
      </c>
      <c r="F793" s="14">
        <v>31689</v>
      </c>
      <c r="G793" s="17">
        <v>46070</v>
      </c>
      <c r="H793" s="11" t="s">
        <v>2814</v>
      </c>
      <c r="I793" s="11" t="s">
        <v>265</v>
      </c>
      <c r="J793" s="11" t="s">
        <v>1465</v>
      </c>
      <c r="K793" s="11" t="s">
        <v>50</v>
      </c>
      <c r="L793" s="23">
        <v>46092</v>
      </c>
      <c r="M793" s="11"/>
      <c r="N793" s="9" t="s">
        <v>2260</v>
      </c>
      <c r="O793" s="11" t="s">
        <v>2132</v>
      </c>
      <c r="P793" s="16" t="s">
        <v>158</v>
      </c>
      <c r="Q793" s="11" t="s">
        <v>1322</v>
      </c>
    </row>
    <row r="794" spans="1:17" ht="82.5" x14ac:dyDescent="0.25">
      <c r="A794" s="13">
        <v>783</v>
      </c>
      <c r="B794" s="16" t="s">
        <v>2815</v>
      </c>
      <c r="C794" s="9">
        <v>14</v>
      </c>
      <c r="D794" s="9" t="str">
        <f t="shared" ca="1" si="15"/>
        <v>14 বছর 1 মাস 30 দিন</v>
      </c>
      <c r="E794" s="11" t="s">
        <v>2816</v>
      </c>
      <c r="F794" s="14">
        <v>31690</v>
      </c>
      <c r="G794" s="17">
        <v>46070</v>
      </c>
      <c r="H794" s="11" t="s">
        <v>2817</v>
      </c>
      <c r="I794" s="11" t="s">
        <v>265</v>
      </c>
      <c r="J794" s="11" t="s">
        <v>2725</v>
      </c>
      <c r="K794" s="11" t="s">
        <v>50</v>
      </c>
      <c r="L794" s="23">
        <v>46124</v>
      </c>
      <c r="M794" s="11"/>
      <c r="N794" s="9" t="s">
        <v>2260</v>
      </c>
      <c r="O794" s="11" t="s">
        <v>2132</v>
      </c>
      <c r="P794" s="11" t="s">
        <v>402</v>
      </c>
      <c r="Q794" s="11"/>
    </row>
    <row r="795" spans="1:17" ht="82.5" x14ac:dyDescent="0.25">
      <c r="A795" s="13">
        <v>784</v>
      </c>
      <c r="B795" s="16" t="s">
        <v>2818</v>
      </c>
      <c r="C795" s="9">
        <v>16</v>
      </c>
      <c r="D795" s="9" t="str">
        <f t="shared" ca="1" si="15"/>
        <v>16 বছর 1 মাস 30 দিন</v>
      </c>
      <c r="E795" s="11" t="s">
        <v>2819</v>
      </c>
      <c r="F795" s="14">
        <v>31691</v>
      </c>
      <c r="G795" s="17">
        <v>46070</v>
      </c>
      <c r="H795" s="11" t="s">
        <v>2820</v>
      </c>
      <c r="I795" s="11" t="s">
        <v>552</v>
      </c>
      <c r="J795" s="11" t="s">
        <v>1623</v>
      </c>
      <c r="K795" s="11" t="s">
        <v>50</v>
      </c>
      <c r="L795" s="23">
        <v>46150</v>
      </c>
      <c r="M795" s="11"/>
      <c r="N795" s="9" t="s">
        <v>2260</v>
      </c>
      <c r="O795" s="11" t="s">
        <v>2132</v>
      </c>
      <c r="P795" s="11" t="s">
        <v>402</v>
      </c>
      <c r="Q795" s="11"/>
    </row>
    <row r="796" spans="1:17" ht="82.5" x14ac:dyDescent="0.25">
      <c r="A796" s="13">
        <v>785</v>
      </c>
      <c r="B796" s="16" t="s">
        <v>2821</v>
      </c>
      <c r="C796" s="9">
        <v>16</v>
      </c>
      <c r="D796" s="9" t="str">
        <f t="shared" ca="1" si="15"/>
        <v>16 বছর 1 মাস 30 দিন</v>
      </c>
      <c r="E796" s="11" t="s">
        <v>2822</v>
      </c>
      <c r="F796" s="14">
        <v>31692</v>
      </c>
      <c r="G796" s="17">
        <v>46070</v>
      </c>
      <c r="H796" s="11" t="s">
        <v>2823</v>
      </c>
      <c r="I796" s="11" t="s">
        <v>196</v>
      </c>
      <c r="J796" s="11" t="s">
        <v>872</v>
      </c>
      <c r="K796" s="11" t="s">
        <v>50</v>
      </c>
      <c r="L796" s="23">
        <v>46092</v>
      </c>
      <c r="M796" s="11"/>
      <c r="N796" s="9" t="s">
        <v>2260</v>
      </c>
      <c r="O796" s="11" t="s">
        <v>2132</v>
      </c>
      <c r="P796" s="11" t="s">
        <v>402</v>
      </c>
      <c r="Q796" s="11" t="s">
        <v>1787</v>
      </c>
    </row>
    <row r="797" spans="1:17" ht="82.5" x14ac:dyDescent="0.25">
      <c r="A797" s="13">
        <v>786</v>
      </c>
      <c r="B797" s="16" t="s">
        <v>2824</v>
      </c>
      <c r="C797" s="9">
        <v>17</v>
      </c>
      <c r="D797" s="9" t="str">
        <f t="shared" ca="1" si="15"/>
        <v>17 বছর 1 মাস 30 দিন</v>
      </c>
      <c r="E797" s="11" t="s">
        <v>2825</v>
      </c>
      <c r="F797" s="14">
        <v>31693</v>
      </c>
      <c r="G797" s="17">
        <v>46070</v>
      </c>
      <c r="H797" s="11" t="s">
        <v>2826</v>
      </c>
      <c r="I797" s="11" t="s">
        <v>38</v>
      </c>
      <c r="J797" s="11" t="s">
        <v>1221</v>
      </c>
      <c r="K797" s="11" t="s">
        <v>50</v>
      </c>
      <c r="L797" s="23">
        <v>46091</v>
      </c>
      <c r="M797" s="11"/>
      <c r="N797" s="9" t="s">
        <v>2260</v>
      </c>
      <c r="O797" s="11" t="s">
        <v>2132</v>
      </c>
      <c r="P797" s="11" t="s">
        <v>402</v>
      </c>
      <c r="Q797" s="11"/>
    </row>
    <row r="798" spans="1:17" ht="82.5" x14ac:dyDescent="0.25">
      <c r="A798" s="13">
        <v>787</v>
      </c>
      <c r="B798" s="16" t="s">
        <v>2827</v>
      </c>
      <c r="C798" s="9">
        <v>17</v>
      </c>
      <c r="D798" s="9" t="str">
        <f t="shared" ca="1" si="15"/>
        <v>17 বছর 1 মাস 30 দিন</v>
      </c>
      <c r="E798" s="11" t="s">
        <v>2828</v>
      </c>
      <c r="F798" s="14">
        <v>31694</v>
      </c>
      <c r="G798" s="17">
        <v>46070</v>
      </c>
      <c r="H798" s="11" t="s">
        <v>2829</v>
      </c>
      <c r="I798" s="11" t="s">
        <v>265</v>
      </c>
      <c r="J798" s="11" t="s">
        <v>1221</v>
      </c>
      <c r="K798" s="11" t="s">
        <v>50</v>
      </c>
      <c r="L798" s="23">
        <v>46133</v>
      </c>
      <c r="M798" s="11"/>
      <c r="N798" s="9" t="s">
        <v>2260</v>
      </c>
      <c r="O798" s="11" t="s">
        <v>2132</v>
      </c>
      <c r="P798" s="11" t="s">
        <v>402</v>
      </c>
      <c r="Q798" s="11"/>
    </row>
    <row r="799" spans="1:17" ht="82.5" x14ac:dyDescent="0.25">
      <c r="A799" s="13">
        <v>788</v>
      </c>
      <c r="B799" s="16" t="s">
        <v>2830</v>
      </c>
      <c r="C799" s="9">
        <v>17</v>
      </c>
      <c r="D799" s="9" t="str">
        <f t="shared" ca="1" si="15"/>
        <v>17 বছর 1 মাস 30 দিন</v>
      </c>
      <c r="E799" s="11" t="s">
        <v>2831</v>
      </c>
      <c r="F799" s="14">
        <v>31695</v>
      </c>
      <c r="G799" s="17">
        <v>46070</v>
      </c>
      <c r="H799" s="11" t="s">
        <v>2832</v>
      </c>
      <c r="I799" s="11" t="s">
        <v>265</v>
      </c>
      <c r="J799" s="11" t="s">
        <v>1651</v>
      </c>
      <c r="K799" s="11" t="s">
        <v>50</v>
      </c>
      <c r="L799" s="23">
        <v>46097</v>
      </c>
      <c r="M799" s="11"/>
      <c r="N799" s="9" t="s">
        <v>2260</v>
      </c>
      <c r="O799" s="11" t="s">
        <v>2132</v>
      </c>
      <c r="P799" s="11" t="s">
        <v>402</v>
      </c>
      <c r="Q799" s="11"/>
    </row>
    <row r="800" spans="1:17" ht="82.5" x14ac:dyDescent="0.25">
      <c r="A800" s="13">
        <v>789</v>
      </c>
      <c r="B800" s="16" t="s">
        <v>2833</v>
      </c>
      <c r="C800" s="9">
        <v>14</v>
      </c>
      <c r="D800" s="9" t="str">
        <f t="shared" ca="1" si="15"/>
        <v>14 বছর 1 মাস 29 দিন</v>
      </c>
      <c r="E800" s="11" t="s">
        <v>2834</v>
      </c>
      <c r="F800" s="14">
        <v>31696</v>
      </c>
      <c r="G800" s="17">
        <v>46071</v>
      </c>
      <c r="H800" s="11" t="s">
        <v>2835</v>
      </c>
      <c r="I800" s="11" t="s">
        <v>196</v>
      </c>
      <c r="J800" s="11" t="s">
        <v>1261</v>
      </c>
      <c r="K800" s="11" t="s">
        <v>50</v>
      </c>
      <c r="L800" s="23">
        <v>46119</v>
      </c>
      <c r="M800" s="11"/>
      <c r="N800" s="9" t="s">
        <v>2260</v>
      </c>
      <c r="O800" s="11" t="s">
        <v>2132</v>
      </c>
      <c r="P800" s="11" t="s">
        <v>402</v>
      </c>
      <c r="Q800" s="11"/>
    </row>
    <row r="801" spans="1:17" ht="82.5" x14ac:dyDescent="0.25">
      <c r="A801" s="13">
        <v>790</v>
      </c>
      <c r="B801" s="16" t="s">
        <v>2836</v>
      </c>
      <c r="C801" s="9">
        <v>16</v>
      </c>
      <c r="D801" s="9" t="str">
        <f t="shared" ca="1" si="15"/>
        <v>16 বছর 1 মাস 29 দিন</v>
      </c>
      <c r="E801" s="11" t="s">
        <v>2837</v>
      </c>
      <c r="F801" s="14">
        <v>31697</v>
      </c>
      <c r="G801" s="17">
        <v>46071</v>
      </c>
      <c r="H801" s="11" t="s">
        <v>2838</v>
      </c>
      <c r="I801" s="11" t="s">
        <v>38</v>
      </c>
      <c r="J801" s="11" t="s">
        <v>1179</v>
      </c>
      <c r="K801" s="11" t="s">
        <v>50</v>
      </c>
      <c r="L801" s="23">
        <v>46111</v>
      </c>
      <c r="M801" s="11"/>
      <c r="N801" s="9" t="s">
        <v>2260</v>
      </c>
      <c r="O801" s="11" t="s">
        <v>2132</v>
      </c>
      <c r="P801" s="11" t="s">
        <v>402</v>
      </c>
      <c r="Q801" s="11"/>
    </row>
    <row r="802" spans="1:17" ht="66" x14ac:dyDescent="0.25">
      <c r="A802" s="13">
        <v>791</v>
      </c>
      <c r="B802" s="16" t="s">
        <v>2839</v>
      </c>
      <c r="C802" s="9"/>
      <c r="D802" s="9" t="str">
        <f t="shared" ca="1" si="15"/>
        <v>0 বছর 1 মাস 29 দিন</v>
      </c>
      <c r="E802" s="11" t="s">
        <v>2840</v>
      </c>
      <c r="F802" s="14">
        <v>31698</v>
      </c>
      <c r="G802" s="17">
        <v>46071</v>
      </c>
      <c r="H802" s="11" t="s">
        <v>2841</v>
      </c>
      <c r="I802" s="11" t="s">
        <v>265</v>
      </c>
      <c r="J802" s="11" t="s">
        <v>2842</v>
      </c>
      <c r="K802" s="11" t="s">
        <v>50</v>
      </c>
      <c r="L802" s="23">
        <v>46115</v>
      </c>
      <c r="M802" s="11"/>
      <c r="N802" s="9" t="s">
        <v>2260</v>
      </c>
      <c r="O802" s="11" t="s">
        <v>2132</v>
      </c>
      <c r="P802" s="16" t="s">
        <v>158</v>
      </c>
      <c r="Q802" s="11" t="s">
        <v>288</v>
      </c>
    </row>
    <row r="803" spans="1:17" ht="82.5" x14ac:dyDescent="0.25">
      <c r="A803" s="13">
        <v>792</v>
      </c>
      <c r="B803" s="16" t="s">
        <v>2843</v>
      </c>
      <c r="C803" s="9">
        <v>17</v>
      </c>
      <c r="D803" s="9" t="str">
        <f t="shared" ca="1" si="15"/>
        <v>17 বছর 1 মাস 28 দিন</v>
      </c>
      <c r="E803" s="11" t="s">
        <v>2844</v>
      </c>
      <c r="F803" s="14">
        <v>31699</v>
      </c>
      <c r="G803" s="17">
        <v>46072</v>
      </c>
      <c r="H803" s="11" t="s">
        <v>2845</v>
      </c>
      <c r="I803" s="11" t="s">
        <v>265</v>
      </c>
      <c r="J803" s="11" t="s">
        <v>2846</v>
      </c>
      <c r="K803" s="11" t="s">
        <v>50</v>
      </c>
      <c r="L803" s="23">
        <v>46111</v>
      </c>
      <c r="M803" s="11"/>
      <c r="N803" s="9" t="s">
        <v>2260</v>
      </c>
      <c r="O803" s="11" t="s">
        <v>2132</v>
      </c>
      <c r="P803" s="11" t="s">
        <v>402</v>
      </c>
      <c r="Q803" s="11"/>
    </row>
    <row r="804" spans="1:17" ht="82.5" x14ac:dyDescent="0.25">
      <c r="A804" s="13">
        <v>793</v>
      </c>
      <c r="B804" s="16" t="s">
        <v>2847</v>
      </c>
      <c r="C804" s="9"/>
      <c r="D804" s="9" t="str">
        <f t="shared" ca="1" si="15"/>
        <v>0 বছর 1 মাস 28 দিন</v>
      </c>
      <c r="E804" s="11" t="s">
        <v>2848</v>
      </c>
      <c r="F804" s="14">
        <v>31700</v>
      </c>
      <c r="G804" s="17">
        <v>46072</v>
      </c>
      <c r="H804" s="11" t="s">
        <v>2849</v>
      </c>
      <c r="I804" s="11" t="s">
        <v>27</v>
      </c>
      <c r="J804" s="11" t="s">
        <v>2846</v>
      </c>
      <c r="K804" s="11" t="s">
        <v>50</v>
      </c>
      <c r="L804" s="23">
        <v>46097</v>
      </c>
      <c r="M804" s="11"/>
      <c r="N804" s="9" t="s">
        <v>2260</v>
      </c>
      <c r="O804" s="11" t="s">
        <v>2132</v>
      </c>
      <c r="P804" s="11" t="s">
        <v>402</v>
      </c>
      <c r="Q804" s="11"/>
    </row>
    <row r="805" spans="1:17" ht="82.5" x14ac:dyDescent="0.25">
      <c r="A805" s="13">
        <v>794</v>
      </c>
      <c r="B805" s="16" t="s">
        <v>2850</v>
      </c>
      <c r="C805" s="9">
        <v>17</v>
      </c>
      <c r="D805" s="9" t="str">
        <f t="shared" ca="1" si="15"/>
        <v>17 বছর 1 মাস 28 দিন</v>
      </c>
      <c r="E805" s="11" t="s">
        <v>2851</v>
      </c>
      <c r="F805" s="14">
        <v>31701</v>
      </c>
      <c r="G805" s="17">
        <v>46072</v>
      </c>
      <c r="H805" s="11" t="s">
        <v>2852</v>
      </c>
      <c r="I805" s="11" t="s">
        <v>27</v>
      </c>
      <c r="J805" s="11" t="s">
        <v>2853</v>
      </c>
      <c r="K805" s="11" t="s">
        <v>50</v>
      </c>
      <c r="L805" s="23">
        <v>46106</v>
      </c>
      <c r="M805" s="11"/>
      <c r="N805" s="9" t="s">
        <v>2260</v>
      </c>
      <c r="O805" s="11" t="s">
        <v>2132</v>
      </c>
      <c r="P805" s="11" t="s">
        <v>402</v>
      </c>
      <c r="Q805" s="11"/>
    </row>
    <row r="806" spans="1:17" ht="82.5" x14ac:dyDescent="0.25">
      <c r="A806" s="13">
        <v>795</v>
      </c>
      <c r="B806" s="16" t="s">
        <v>2854</v>
      </c>
      <c r="C806" s="9">
        <v>16</v>
      </c>
      <c r="D806" s="9" t="str">
        <f t="shared" ca="1" si="15"/>
        <v>16 বছর 1 মাস 28 দিন</v>
      </c>
      <c r="E806" s="11" t="s">
        <v>2855</v>
      </c>
      <c r="F806" s="14">
        <v>31702</v>
      </c>
      <c r="G806" s="17">
        <v>46072</v>
      </c>
      <c r="H806" s="11" t="s">
        <v>2856</v>
      </c>
      <c r="I806" s="11" t="s">
        <v>265</v>
      </c>
      <c r="J806" s="11" t="s">
        <v>2853</v>
      </c>
      <c r="K806" s="11" t="s">
        <v>50</v>
      </c>
      <c r="L806" s="23"/>
      <c r="M806" s="11"/>
      <c r="N806" s="9" t="s">
        <v>2260</v>
      </c>
      <c r="O806" s="11" t="s">
        <v>2132</v>
      </c>
      <c r="P806" s="11" t="s">
        <v>402</v>
      </c>
      <c r="Q806" s="11"/>
    </row>
    <row r="807" spans="1:17" ht="82.5" x14ac:dyDescent="0.25">
      <c r="A807" s="13">
        <v>796</v>
      </c>
      <c r="B807" s="16" t="s">
        <v>2857</v>
      </c>
      <c r="C807" s="9">
        <v>17</v>
      </c>
      <c r="D807" s="9" t="str">
        <f t="shared" ca="1" si="15"/>
        <v>17 বছর 1 মাস 28 দিন</v>
      </c>
      <c r="E807" s="11" t="s">
        <v>2858</v>
      </c>
      <c r="F807" s="14">
        <v>31703</v>
      </c>
      <c r="G807" s="17">
        <v>46072</v>
      </c>
      <c r="H807" s="11" t="s">
        <v>2859</v>
      </c>
      <c r="I807" s="11" t="s">
        <v>48</v>
      </c>
      <c r="J807" s="11" t="s">
        <v>1261</v>
      </c>
      <c r="K807" s="11" t="s">
        <v>50</v>
      </c>
      <c r="L807" s="23">
        <v>46133</v>
      </c>
      <c r="M807" s="11"/>
      <c r="N807" s="9" t="s">
        <v>2260</v>
      </c>
      <c r="O807" s="11" t="s">
        <v>2132</v>
      </c>
      <c r="P807" s="11" t="s">
        <v>402</v>
      </c>
      <c r="Q807" s="11"/>
    </row>
    <row r="808" spans="1:17" ht="82.5" x14ac:dyDescent="0.25">
      <c r="A808" s="13">
        <v>797</v>
      </c>
      <c r="B808" s="16" t="s">
        <v>2860</v>
      </c>
      <c r="C808" s="9">
        <v>17</v>
      </c>
      <c r="D808" s="9" t="str">
        <f t="shared" ca="1" si="15"/>
        <v>17 বছর 1 মাস 28 দিন</v>
      </c>
      <c r="E808" s="11" t="s">
        <v>2861</v>
      </c>
      <c r="F808" s="14">
        <v>31704</v>
      </c>
      <c r="G808" s="17">
        <v>46072</v>
      </c>
      <c r="H808" s="11" t="s">
        <v>2862</v>
      </c>
      <c r="I808" s="11" t="s">
        <v>265</v>
      </c>
      <c r="J808" s="11" t="s">
        <v>2863</v>
      </c>
      <c r="K808" s="11" t="s">
        <v>50</v>
      </c>
      <c r="L808" s="23">
        <v>46084</v>
      </c>
      <c r="M808" s="11"/>
      <c r="N808" s="9" t="s">
        <v>2260</v>
      </c>
      <c r="O808" s="11" t="s">
        <v>2132</v>
      </c>
      <c r="P808" s="11" t="s">
        <v>402</v>
      </c>
      <c r="Q808" s="11"/>
    </row>
    <row r="809" spans="1:17" ht="82.5" x14ac:dyDescent="0.25">
      <c r="A809" s="13">
        <v>798</v>
      </c>
      <c r="B809" s="16" t="s">
        <v>2864</v>
      </c>
      <c r="C809" s="9">
        <v>17</v>
      </c>
      <c r="D809" s="9" t="str">
        <f t="shared" ca="1" si="15"/>
        <v>17 বছর 1 মাস 28 দিন</v>
      </c>
      <c r="E809" s="11" t="s">
        <v>1671</v>
      </c>
      <c r="F809" s="14">
        <v>31705</v>
      </c>
      <c r="G809" s="17">
        <v>46072</v>
      </c>
      <c r="H809" s="11" t="s">
        <v>2865</v>
      </c>
      <c r="I809" s="11"/>
      <c r="J809" s="11" t="s">
        <v>1179</v>
      </c>
      <c r="K809" s="11" t="s">
        <v>50</v>
      </c>
      <c r="L809" s="23">
        <v>46111</v>
      </c>
      <c r="M809" s="11"/>
      <c r="N809" s="9" t="s">
        <v>2260</v>
      </c>
      <c r="O809" s="11" t="s">
        <v>2132</v>
      </c>
      <c r="P809" s="11" t="s">
        <v>402</v>
      </c>
      <c r="Q809" s="11"/>
    </row>
    <row r="810" spans="1:17" ht="82.5" x14ac:dyDescent="0.25">
      <c r="A810" s="13">
        <v>799</v>
      </c>
      <c r="B810" s="16" t="s">
        <v>2866</v>
      </c>
      <c r="C810" s="9"/>
      <c r="D810" s="9" t="str">
        <f t="shared" ca="1" si="15"/>
        <v>0 বছর 1 মাস 28 দিন</v>
      </c>
      <c r="E810" s="11" t="s">
        <v>2867</v>
      </c>
      <c r="F810" s="14">
        <v>31706</v>
      </c>
      <c r="G810" s="17">
        <v>46072</v>
      </c>
      <c r="H810" s="11" t="s">
        <v>2868</v>
      </c>
      <c r="I810" s="11" t="s">
        <v>552</v>
      </c>
      <c r="J810" s="11" t="s">
        <v>2869</v>
      </c>
      <c r="K810" s="11" t="s">
        <v>50</v>
      </c>
      <c r="L810" s="23"/>
      <c r="M810" s="11"/>
      <c r="N810" s="9" t="s">
        <v>2260</v>
      </c>
      <c r="O810" s="11" t="s">
        <v>2132</v>
      </c>
      <c r="P810" s="11" t="s">
        <v>402</v>
      </c>
      <c r="Q810" s="11"/>
    </row>
    <row r="811" spans="1:17" ht="82.5" x14ac:dyDescent="0.25">
      <c r="A811" s="13">
        <v>800</v>
      </c>
      <c r="B811" s="16" t="s">
        <v>2870</v>
      </c>
      <c r="C811" s="9"/>
      <c r="D811" s="9" t="str">
        <f t="shared" ca="1" si="15"/>
        <v>0 বছর 1 মাস 27 দিন</v>
      </c>
      <c r="E811" s="11" t="s">
        <v>2871</v>
      </c>
      <c r="F811" s="14">
        <v>31707</v>
      </c>
      <c r="G811" s="17">
        <v>46073</v>
      </c>
      <c r="H811" s="11" t="s">
        <v>2872</v>
      </c>
      <c r="I811" s="11" t="s">
        <v>48</v>
      </c>
      <c r="J811" s="11" t="s">
        <v>1905</v>
      </c>
      <c r="K811" s="11" t="s">
        <v>50</v>
      </c>
      <c r="L811" s="23">
        <v>46085</v>
      </c>
      <c r="M811" s="11"/>
      <c r="N811" s="9" t="s">
        <v>2260</v>
      </c>
      <c r="O811" s="11" t="s">
        <v>2132</v>
      </c>
      <c r="P811" s="11" t="s">
        <v>402</v>
      </c>
      <c r="Q811" s="11"/>
    </row>
    <row r="812" spans="1:17" ht="82.5" x14ac:dyDescent="0.25">
      <c r="A812" s="13">
        <v>801</v>
      </c>
      <c r="B812" s="16" t="s">
        <v>2873</v>
      </c>
      <c r="C812" s="9">
        <v>20</v>
      </c>
      <c r="D812" s="9" t="str">
        <f t="shared" ca="1" si="15"/>
        <v>20 বছর 1 মাস 27 দিন</v>
      </c>
      <c r="E812" s="11" t="s">
        <v>2874</v>
      </c>
      <c r="F812" s="14">
        <v>31708</v>
      </c>
      <c r="G812" s="17">
        <v>46073</v>
      </c>
      <c r="H812" s="11" t="s">
        <v>2875</v>
      </c>
      <c r="I812" s="11"/>
      <c r="J812" s="11" t="s">
        <v>2876</v>
      </c>
      <c r="K812" s="11" t="s">
        <v>50</v>
      </c>
      <c r="L812" s="23">
        <v>46067</v>
      </c>
      <c r="M812" s="11"/>
      <c r="N812" s="9" t="s">
        <v>2260</v>
      </c>
      <c r="O812" s="11" t="s">
        <v>2132</v>
      </c>
      <c r="P812" s="11" t="s">
        <v>402</v>
      </c>
      <c r="Q812" s="11"/>
    </row>
    <row r="813" spans="1:17" ht="66" x14ac:dyDescent="0.25">
      <c r="A813" s="13">
        <v>802</v>
      </c>
      <c r="B813" s="16" t="s">
        <v>2877</v>
      </c>
      <c r="C813" s="9"/>
      <c r="D813" s="9" t="str">
        <f t="shared" ca="1" si="15"/>
        <v>0 বছর 1 মাস 27 দিন</v>
      </c>
      <c r="E813" s="11" t="s">
        <v>2878</v>
      </c>
      <c r="F813" s="14">
        <v>31709</v>
      </c>
      <c r="G813" s="17">
        <v>46073</v>
      </c>
      <c r="H813" s="11" t="s">
        <v>2879</v>
      </c>
      <c r="I813" s="11"/>
      <c r="J813" s="11" t="s">
        <v>2880</v>
      </c>
      <c r="K813" s="11" t="s">
        <v>50</v>
      </c>
      <c r="L813" s="23"/>
      <c r="M813" s="11"/>
      <c r="N813" s="9" t="s">
        <v>2260</v>
      </c>
      <c r="O813" s="11" t="s">
        <v>2132</v>
      </c>
      <c r="P813" s="16" t="s">
        <v>158</v>
      </c>
      <c r="Q813" s="11" t="s">
        <v>1787</v>
      </c>
    </row>
    <row r="814" spans="1:17" ht="82.5" x14ac:dyDescent="0.25">
      <c r="A814" s="13">
        <v>803</v>
      </c>
      <c r="B814" s="16" t="s">
        <v>2881</v>
      </c>
      <c r="C814" s="9"/>
      <c r="D814" s="9" t="str">
        <f t="shared" ca="1" si="15"/>
        <v>0 বছর 1 মাস 27 দিন</v>
      </c>
      <c r="E814" s="11" t="s">
        <v>2882</v>
      </c>
      <c r="F814" s="14">
        <v>31710</v>
      </c>
      <c r="G814" s="17">
        <v>46073</v>
      </c>
      <c r="H814" s="11" t="s">
        <v>2883</v>
      </c>
      <c r="I814" s="11" t="s">
        <v>292</v>
      </c>
      <c r="J814" s="11" t="s">
        <v>2880</v>
      </c>
      <c r="K814" s="11" t="s">
        <v>50</v>
      </c>
      <c r="L814" s="23">
        <v>46111</v>
      </c>
      <c r="M814" s="11"/>
      <c r="N814" s="9" t="s">
        <v>2260</v>
      </c>
      <c r="O814" s="11" t="s">
        <v>2132</v>
      </c>
      <c r="P814" s="11" t="s">
        <v>402</v>
      </c>
      <c r="Q814" s="11"/>
    </row>
    <row r="815" spans="1:17" ht="66" x14ac:dyDescent="0.25">
      <c r="A815" s="13">
        <v>804</v>
      </c>
      <c r="B815" s="16" t="s">
        <v>2884</v>
      </c>
      <c r="C815" s="9">
        <v>17</v>
      </c>
      <c r="D815" s="9" t="str">
        <f t="shared" ca="1" si="15"/>
        <v>17 বছর 1 মাস 27 দিন</v>
      </c>
      <c r="E815" s="11" t="s">
        <v>2885</v>
      </c>
      <c r="F815" s="14">
        <v>31711</v>
      </c>
      <c r="G815" s="17">
        <v>46073</v>
      </c>
      <c r="H815" s="11" t="s">
        <v>2886</v>
      </c>
      <c r="I815" s="11" t="s">
        <v>38</v>
      </c>
      <c r="J815" s="11" t="s">
        <v>1977</v>
      </c>
      <c r="K815" s="11" t="s">
        <v>50</v>
      </c>
      <c r="L815" s="23">
        <v>46111</v>
      </c>
      <c r="M815" s="11"/>
      <c r="N815" s="9" t="s">
        <v>2260</v>
      </c>
      <c r="O815" s="11" t="s">
        <v>2132</v>
      </c>
      <c r="P815" s="16" t="s">
        <v>158</v>
      </c>
      <c r="Q815" s="11" t="s">
        <v>1787</v>
      </c>
    </row>
    <row r="816" spans="1:17" ht="82.5" x14ac:dyDescent="0.25">
      <c r="A816" s="13">
        <v>805</v>
      </c>
      <c r="B816" s="16" t="s">
        <v>2887</v>
      </c>
      <c r="C816" s="9">
        <v>16</v>
      </c>
      <c r="D816" s="9" t="str">
        <f t="shared" ca="1" si="15"/>
        <v>16 বছর 1 মাস 27 দিন</v>
      </c>
      <c r="E816" s="11" t="s">
        <v>2888</v>
      </c>
      <c r="F816" s="14">
        <v>31712</v>
      </c>
      <c r="G816" s="17">
        <v>46073</v>
      </c>
      <c r="H816" s="11" t="s">
        <v>2889</v>
      </c>
      <c r="I816" s="11" t="s">
        <v>265</v>
      </c>
      <c r="J816" s="11" t="s">
        <v>1248</v>
      </c>
      <c r="K816" s="11" t="s">
        <v>50</v>
      </c>
      <c r="L816" s="23">
        <v>46146</v>
      </c>
      <c r="M816" s="11"/>
      <c r="N816" s="9" t="s">
        <v>2260</v>
      </c>
      <c r="O816" s="11" t="s">
        <v>2132</v>
      </c>
      <c r="P816" s="11" t="s">
        <v>402</v>
      </c>
      <c r="Q816" s="11"/>
    </row>
    <row r="817" spans="1:17" ht="82.5" x14ac:dyDescent="0.25">
      <c r="A817" s="13">
        <v>806</v>
      </c>
      <c r="B817" s="16" t="s">
        <v>2890</v>
      </c>
      <c r="C817" s="9">
        <v>16</v>
      </c>
      <c r="D817" s="9" t="str">
        <f t="shared" ca="1" si="15"/>
        <v>16 বছর 1 মাস 27 দিন</v>
      </c>
      <c r="E817" s="11" t="s">
        <v>2891</v>
      </c>
      <c r="F817" s="14">
        <v>31713</v>
      </c>
      <c r="G817" s="17">
        <v>46073</v>
      </c>
      <c r="H817" s="11" t="s">
        <v>2892</v>
      </c>
      <c r="I817" s="11" t="s">
        <v>27</v>
      </c>
      <c r="J817" s="11" t="s">
        <v>2893</v>
      </c>
      <c r="K817" s="11" t="s">
        <v>50</v>
      </c>
      <c r="L817" s="23">
        <v>46105</v>
      </c>
      <c r="M817" s="11"/>
      <c r="N817" s="9" t="s">
        <v>2260</v>
      </c>
      <c r="O817" s="11" t="s">
        <v>2132</v>
      </c>
      <c r="P817" s="11" t="s">
        <v>402</v>
      </c>
      <c r="Q817" s="11"/>
    </row>
    <row r="818" spans="1:17" ht="82.5" x14ac:dyDescent="0.25">
      <c r="A818" s="13">
        <v>807</v>
      </c>
      <c r="B818" s="16" t="s">
        <v>2894</v>
      </c>
      <c r="C818" s="9">
        <v>14</v>
      </c>
      <c r="D818" s="9" t="str">
        <f t="shared" ca="1" si="15"/>
        <v>14 বছর 1 মাস 27 দিন</v>
      </c>
      <c r="E818" s="11" t="s">
        <v>2895</v>
      </c>
      <c r="F818" s="14">
        <v>31714</v>
      </c>
      <c r="G818" s="17">
        <v>46073</v>
      </c>
      <c r="H818" s="11" t="s">
        <v>2896</v>
      </c>
      <c r="I818" s="11"/>
      <c r="J818" s="11" t="s">
        <v>2897</v>
      </c>
      <c r="K818" s="11" t="s">
        <v>50</v>
      </c>
      <c r="L818" s="23">
        <v>46153</v>
      </c>
      <c r="M818" s="11"/>
      <c r="N818" s="9" t="s">
        <v>2260</v>
      </c>
      <c r="O818" s="11" t="s">
        <v>2132</v>
      </c>
      <c r="P818" s="11" t="s">
        <v>402</v>
      </c>
      <c r="Q818" s="11"/>
    </row>
    <row r="819" spans="1:17" ht="82.5" x14ac:dyDescent="0.25">
      <c r="A819" s="13">
        <v>808</v>
      </c>
      <c r="B819" s="16" t="s">
        <v>2898</v>
      </c>
      <c r="C819" s="9">
        <v>17</v>
      </c>
      <c r="D819" s="9" t="str">
        <f t="shared" ca="1" si="15"/>
        <v>17 বছর 1 মাস 27 দিন</v>
      </c>
      <c r="E819" s="11" t="s">
        <v>2899</v>
      </c>
      <c r="F819" s="14">
        <v>31715</v>
      </c>
      <c r="G819" s="17">
        <v>46073</v>
      </c>
      <c r="H819" s="11" t="s">
        <v>2900</v>
      </c>
      <c r="I819" s="11"/>
      <c r="J819" s="11" t="s">
        <v>2897</v>
      </c>
      <c r="K819" s="11" t="s">
        <v>50</v>
      </c>
      <c r="L819" s="23">
        <v>46121</v>
      </c>
      <c r="M819" s="11"/>
      <c r="N819" s="9" t="s">
        <v>2260</v>
      </c>
      <c r="O819" s="11" t="s">
        <v>2132</v>
      </c>
      <c r="P819" s="11" t="s">
        <v>402</v>
      </c>
      <c r="Q819" s="11"/>
    </row>
    <row r="820" spans="1:17" ht="66" x14ac:dyDescent="0.25">
      <c r="A820" s="13">
        <v>809</v>
      </c>
      <c r="B820" s="16" t="s">
        <v>2901</v>
      </c>
      <c r="C820" s="9"/>
      <c r="D820" s="9" t="str">
        <f t="shared" ca="1" si="15"/>
        <v>0 বছর 1 মাস 27 দিন</v>
      </c>
      <c r="E820" s="11" t="s">
        <v>2902</v>
      </c>
      <c r="F820" s="14">
        <v>31716</v>
      </c>
      <c r="G820" s="17">
        <v>46073</v>
      </c>
      <c r="H820" s="11" t="s">
        <v>2903</v>
      </c>
      <c r="I820" s="11" t="s">
        <v>196</v>
      </c>
      <c r="J820" s="11" t="s">
        <v>2542</v>
      </c>
      <c r="K820" s="11" t="s">
        <v>50</v>
      </c>
      <c r="L820" s="23">
        <v>46100</v>
      </c>
      <c r="M820" s="11"/>
      <c r="N820" s="9" t="s">
        <v>2260</v>
      </c>
      <c r="O820" s="11" t="s">
        <v>2132</v>
      </c>
      <c r="P820" s="16" t="s">
        <v>158</v>
      </c>
      <c r="Q820" s="11" t="s">
        <v>761</v>
      </c>
    </row>
    <row r="821" spans="1:17" ht="82.5" x14ac:dyDescent="0.25">
      <c r="A821" s="13">
        <v>810</v>
      </c>
      <c r="B821" s="16" t="s">
        <v>2904</v>
      </c>
      <c r="C821" s="9"/>
      <c r="D821" s="9" t="str">
        <f t="shared" ca="1" si="15"/>
        <v>0 বছর 1 মাস 27 দিন</v>
      </c>
      <c r="E821" s="11" t="s">
        <v>2905</v>
      </c>
      <c r="F821" s="14">
        <v>31717</v>
      </c>
      <c r="G821" s="17">
        <v>46073</v>
      </c>
      <c r="H821" s="11" t="s">
        <v>2906</v>
      </c>
      <c r="I821" s="11" t="s">
        <v>27</v>
      </c>
      <c r="J821" s="11" t="s">
        <v>2542</v>
      </c>
      <c r="K821" s="11" t="s">
        <v>50</v>
      </c>
      <c r="L821" s="23">
        <v>46224</v>
      </c>
      <c r="M821" s="11"/>
      <c r="N821" s="9" t="s">
        <v>2260</v>
      </c>
      <c r="O821" s="11" t="s">
        <v>2132</v>
      </c>
      <c r="P821" s="11" t="s">
        <v>402</v>
      </c>
      <c r="Q821" s="11"/>
    </row>
    <row r="822" spans="1:17" ht="82.5" x14ac:dyDescent="0.25">
      <c r="A822" s="13">
        <v>811</v>
      </c>
      <c r="B822" s="16" t="s">
        <v>2907</v>
      </c>
      <c r="C822" s="9"/>
      <c r="D822" s="9" t="str">
        <f t="shared" ca="1" si="15"/>
        <v>0 বছর 1 মাস 27 দিন</v>
      </c>
      <c r="E822" s="11" t="s">
        <v>2908</v>
      </c>
      <c r="F822" s="14">
        <v>31718</v>
      </c>
      <c r="G822" s="17">
        <v>46073</v>
      </c>
      <c r="H822" s="11" t="s">
        <v>2909</v>
      </c>
      <c r="I822" s="11" t="s">
        <v>2910</v>
      </c>
      <c r="J822" s="11" t="s">
        <v>2542</v>
      </c>
      <c r="K822" s="11" t="s">
        <v>50</v>
      </c>
      <c r="L822" s="23">
        <v>46079</v>
      </c>
      <c r="M822" s="11"/>
      <c r="N822" s="9" t="s">
        <v>2260</v>
      </c>
      <c r="O822" s="11" t="s">
        <v>2132</v>
      </c>
      <c r="P822" s="11" t="s">
        <v>402</v>
      </c>
      <c r="Q822" s="11"/>
    </row>
    <row r="823" spans="1:17" ht="82.5" x14ac:dyDescent="0.25">
      <c r="A823" s="13">
        <v>812</v>
      </c>
      <c r="B823" s="16" t="s">
        <v>2911</v>
      </c>
      <c r="C823" s="9">
        <v>19</v>
      </c>
      <c r="D823" s="9" t="str">
        <f t="shared" ca="1" si="15"/>
        <v>19 বছর 1 মাস 27 দিন</v>
      </c>
      <c r="E823" s="11" t="s">
        <v>2912</v>
      </c>
      <c r="F823" s="14">
        <v>31719</v>
      </c>
      <c r="G823" s="17">
        <v>46073</v>
      </c>
      <c r="H823" s="11" t="s">
        <v>2913</v>
      </c>
      <c r="I823" s="11" t="s">
        <v>27</v>
      </c>
      <c r="J823" s="11" t="s">
        <v>857</v>
      </c>
      <c r="K823" s="11" t="s">
        <v>50</v>
      </c>
      <c r="L823" s="23">
        <v>46090</v>
      </c>
      <c r="M823" s="11"/>
      <c r="N823" s="9" t="s">
        <v>2260</v>
      </c>
      <c r="O823" s="11" t="s">
        <v>2132</v>
      </c>
      <c r="P823" s="11" t="s">
        <v>402</v>
      </c>
      <c r="Q823" s="11"/>
    </row>
    <row r="824" spans="1:17" ht="82.5" x14ac:dyDescent="0.25">
      <c r="A824" s="13">
        <v>813</v>
      </c>
      <c r="B824" s="16" t="s">
        <v>2914</v>
      </c>
      <c r="C824" s="9">
        <v>16</v>
      </c>
      <c r="D824" s="9" t="str">
        <f t="shared" ca="1" si="15"/>
        <v>16 বছর 1 মাস 26 দিন</v>
      </c>
      <c r="E824" s="11" t="s">
        <v>2915</v>
      </c>
      <c r="F824" s="14">
        <v>31720</v>
      </c>
      <c r="G824" s="17">
        <v>46074</v>
      </c>
      <c r="H824" s="11" t="s">
        <v>2916</v>
      </c>
      <c r="I824" s="11" t="s">
        <v>196</v>
      </c>
      <c r="J824" s="11" t="s">
        <v>1651</v>
      </c>
      <c r="K824" s="11" t="s">
        <v>50</v>
      </c>
      <c r="L824" s="23">
        <v>46114</v>
      </c>
      <c r="M824" s="11"/>
      <c r="N824" s="9" t="s">
        <v>2260</v>
      </c>
      <c r="O824" s="11" t="s">
        <v>2132</v>
      </c>
      <c r="P824" s="11" t="s">
        <v>402</v>
      </c>
      <c r="Q824" s="11"/>
    </row>
    <row r="825" spans="1:17" ht="66" x14ac:dyDescent="0.25">
      <c r="A825" s="13">
        <v>814</v>
      </c>
      <c r="B825" s="16" t="s">
        <v>2917</v>
      </c>
      <c r="C825" s="9">
        <v>16</v>
      </c>
      <c r="D825" s="9" t="str">
        <f t="shared" ca="1" si="15"/>
        <v>16 বছর 1 মাস 26 দিন</v>
      </c>
      <c r="E825" s="11" t="s">
        <v>2918</v>
      </c>
      <c r="F825" s="14">
        <v>31721</v>
      </c>
      <c r="G825" s="17">
        <v>46074</v>
      </c>
      <c r="H825" s="11" t="s">
        <v>2916</v>
      </c>
      <c r="I825" s="11" t="s">
        <v>196</v>
      </c>
      <c r="J825" s="11" t="s">
        <v>1651</v>
      </c>
      <c r="K825" s="11" t="s">
        <v>50</v>
      </c>
      <c r="L825" s="23">
        <v>46114</v>
      </c>
      <c r="M825" s="11"/>
      <c r="N825" s="9" t="s">
        <v>2260</v>
      </c>
      <c r="O825" s="11" t="s">
        <v>2132</v>
      </c>
      <c r="P825" s="16" t="s">
        <v>158</v>
      </c>
      <c r="Q825" s="11" t="s">
        <v>1787</v>
      </c>
    </row>
    <row r="826" spans="1:17" ht="66" x14ac:dyDescent="0.25">
      <c r="A826" s="13">
        <v>815</v>
      </c>
      <c r="B826" s="16" t="s">
        <v>2919</v>
      </c>
      <c r="C826" s="9">
        <v>15</v>
      </c>
      <c r="D826" s="9" t="str">
        <f t="shared" ca="1" si="15"/>
        <v>15 বছর 1 মাস 26 দিন</v>
      </c>
      <c r="E826" s="11" t="s">
        <v>2920</v>
      </c>
      <c r="F826" s="14">
        <v>31722</v>
      </c>
      <c r="G826" s="17">
        <v>46074</v>
      </c>
      <c r="H826" s="11" t="s">
        <v>2921</v>
      </c>
      <c r="I826" s="11" t="s">
        <v>48</v>
      </c>
      <c r="J826" s="11" t="s">
        <v>1651</v>
      </c>
      <c r="K826" s="11" t="s">
        <v>50</v>
      </c>
      <c r="L826" s="23">
        <v>46089</v>
      </c>
      <c r="M826" s="11"/>
      <c r="N826" s="9" t="s">
        <v>2260</v>
      </c>
      <c r="O826" s="11" t="s">
        <v>2132</v>
      </c>
      <c r="P826" s="11" t="s">
        <v>57</v>
      </c>
      <c r="Q826" s="11"/>
    </row>
    <row r="827" spans="1:17" ht="66" x14ac:dyDescent="0.25">
      <c r="A827" s="13">
        <v>816</v>
      </c>
      <c r="B827" s="16" t="s">
        <v>2922</v>
      </c>
      <c r="C827" s="9">
        <v>15</v>
      </c>
      <c r="D827" s="9" t="str">
        <f t="shared" ca="1" si="15"/>
        <v>15 বছর 1 মাস 26 দিন</v>
      </c>
      <c r="E827" s="11" t="s">
        <v>2923</v>
      </c>
      <c r="F827" s="14">
        <v>31723</v>
      </c>
      <c r="G827" s="17">
        <v>46074</v>
      </c>
      <c r="H827" s="11" t="s">
        <v>2916</v>
      </c>
      <c r="I827" s="11" t="s">
        <v>196</v>
      </c>
      <c r="J827" s="11" t="s">
        <v>1651</v>
      </c>
      <c r="K827" s="11" t="s">
        <v>50</v>
      </c>
      <c r="L827" s="23">
        <v>46114</v>
      </c>
      <c r="M827" s="11"/>
      <c r="N827" s="9" t="s">
        <v>2260</v>
      </c>
      <c r="O827" s="11" t="s">
        <v>2132</v>
      </c>
      <c r="P827" s="16" t="s">
        <v>158</v>
      </c>
      <c r="Q827" s="11" t="s">
        <v>1787</v>
      </c>
    </row>
    <row r="828" spans="1:17" ht="82.5" x14ac:dyDescent="0.25">
      <c r="A828" s="13">
        <v>817</v>
      </c>
      <c r="B828" s="16" t="s">
        <v>2924</v>
      </c>
      <c r="C828" s="9">
        <v>15</v>
      </c>
      <c r="D828" s="9" t="str">
        <f t="shared" ref="D828:D891" ca="1" si="16">C828+DATEDIF(G828,TODAY(),"y")&amp;" "&amp;"বছর"&amp;" "&amp;DATEDIF(G828,TODAY(),"ym")&amp;" "&amp;"মাস"&amp;" "&amp;DATEDIF(G828,TODAY(),"md")&amp;" "&amp;"দিন"</f>
        <v>15 বছর 1 মাস 26 দিন</v>
      </c>
      <c r="E828" s="11" t="s">
        <v>2925</v>
      </c>
      <c r="F828" s="14">
        <v>31724</v>
      </c>
      <c r="G828" s="17">
        <v>46074</v>
      </c>
      <c r="H828" s="11" t="s">
        <v>2926</v>
      </c>
      <c r="I828" s="11" t="s">
        <v>196</v>
      </c>
      <c r="J828" s="11" t="s">
        <v>1449</v>
      </c>
      <c r="K828" s="11" t="s">
        <v>50</v>
      </c>
      <c r="L828" s="23">
        <v>46128</v>
      </c>
      <c r="M828" s="11"/>
      <c r="N828" s="9" t="s">
        <v>2260</v>
      </c>
      <c r="O828" s="11" t="s">
        <v>2132</v>
      </c>
      <c r="P828" s="11" t="s">
        <v>402</v>
      </c>
      <c r="Q828" s="11"/>
    </row>
    <row r="829" spans="1:17" ht="66" x14ac:dyDescent="0.25">
      <c r="A829" s="13">
        <v>818</v>
      </c>
      <c r="B829" s="16" t="s">
        <v>2927</v>
      </c>
      <c r="C829" s="9">
        <v>17</v>
      </c>
      <c r="D829" s="9" t="str">
        <f t="shared" ca="1" si="16"/>
        <v>17 বছর 1 মাস 26 দিন</v>
      </c>
      <c r="E829" s="11" t="s">
        <v>2928</v>
      </c>
      <c r="F829" s="14">
        <v>31725</v>
      </c>
      <c r="G829" s="17">
        <v>46074</v>
      </c>
      <c r="H829" s="11" t="s">
        <v>2929</v>
      </c>
      <c r="I829" s="11" t="s">
        <v>196</v>
      </c>
      <c r="J829" s="11" t="s">
        <v>1449</v>
      </c>
      <c r="K829" s="11" t="s">
        <v>50</v>
      </c>
      <c r="L829" s="23">
        <v>46128</v>
      </c>
      <c r="M829" s="11"/>
      <c r="N829" s="9" t="s">
        <v>2260</v>
      </c>
      <c r="O829" s="11" t="s">
        <v>2132</v>
      </c>
      <c r="P829" s="16" t="s">
        <v>158</v>
      </c>
      <c r="Q829" s="11" t="s">
        <v>1787</v>
      </c>
    </row>
    <row r="830" spans="1:17" ht="82.5" x14ac:dyDescent="0.25">
      <c r="A830" s="13">
        <v>819</v>
      </c>
      <c r="B830" s="16" t="s">
        <v>2930</v>
      </c>
      <c r="C830" s="9">
        <v>17</v>
      </c>
      <c r="D830" s="9" t="str">
        <f t="shared" ca="1" si="16"/>
        <v>17 বছর 1 মাস 26 দিন</v>
      </c>
      <c r="E830" s="11" t="s">
        <v>2931</v>
      </c>
      <c r="F830" s="14">
        <v>31726</v>
      </c>
      <c r="G830" s="17">
        <v>46074</v>
      </c>
      <c r="H830" s="11" t="s">
        <v>2932</v>
      </c>
      <c r="I830" s="11" t="s">
        <v>588</v>
      </c>
      <c r="J830" s="11" t="s">
        <v>1669</v>
      </c>
      <c r="K830" s="11" t="s">
        <v>50</v>
      </c>
      <c r="L830" s="23">
        <v>46078</v>
      </c>
      <c r="M830" s="11"/>
      <c r="N830" s="9" t="s">
        <v>2260</v>
      </c>
      <c r="O830" s="11" t="s">
        <v>2132</v>
      </c>
      <c r="P830" s="11" t="s">
        <v>402</v>
      </c>
      <c r="Q830" s="11"/>
    </row>
    <row r="831" spans="1:17" ht="82.5" x14ac:dyDescent="0.25">
      <c r="A831" s="13">
        <v>820</v>
      </c>
      <c r="B831" s="16" t="s">
        <v>2933</v>
      </c>
      <c r="C831" s="9"/>
      <c r="D831" s="9" t="str">
        <f t="shared" ca="1" si="16"/>
        <v>0 বছর 1 মাস 26 দিন</v>
      </c>
      <c r="E831" s="11" t="s">
        <v>2934</v>
      </c>
      <c r="F831" s="14">
        <v>31727</v>
      </c>
      <c r="G831" s="17">
        <v>46074</v>
      </c>
      <c r="H831" s="11" t="s">
        <v>2935</v>
      </c>
      <c r="I831" s="11" t="s">
        <v>265</v>
      </c>
      <c r="J831" s="11" t="s">
        <v>1669</v>
      </c>
      <c r="K831" s="11" t="s">
        <v>50</v>
      </c>
      <c r="L831" s="23">
        <v>46084</v>
      </c>
      <c r="M831" s="11"/>
      <c r="N831" s="9" t="s">
        <v>2260</v>
      </c>
      <c r="O831" s="11" t="s">
        <v>2132</v>
      </c>
      <c r="P831" s="11" t="s">
        <v>402</v>
      </c>
      <c r="Q831" s="11"/>
    </row>
    <row r="832" spans="1:17" ht="66" x14ac:dyDescent="0.25">
      <c r="A832" s="13">
        <v>821</v>
      </c>
      <c r="B832" s="16" t="s">
        <v>2936</v>
      </c>
      <c r="C832" s="9"/>
      <c r="D832" s="9" t="str">
        <f t="shared" ca="1" si="16"/>
        <v>0 বছর 1 মাস 26 দিন</v>
      </c>
      <c r="E832" s="11" t="s">
        <v>2937</v>
      </c>
      <c r="F832" s="14">
        <v>31728</v>
      </c>
      <c r="G832" s="17">
        <v>46074</v>
      </c>
      <c r="H832" s="11" t="s">
        <v>2938</v>
      </c>
      <c r="I832" s="11" t="s">
        <v>265</v>
      </c>
      <c r="J832" s="11" t="s">
        <v>1669</v>
      </c>
      <c r="K832" s="11" t="s">
        <v>50</v>
      </c>
      <c r="L832" s="23">
        <v>46117</v>
      </c>
      <c r="M832" s="11"/>
      <c r="N832" s="9" t="s">
        <v>2260</v>
      </c>
      <c r="O832" s="11" t="s">
        <v>2132</v>
      </c>
      <c r="P832" s="16" t="s">
        <v>158</v>
      </c>
      <c r="Q832" s="11" t="s">
        <v>1322</v>
      </c>
    </row>
    <row r="833" spans="1:17" ht="82.5" x14ac:dyDescent="0.25">
      <c r="A833" s="13">
        <v>822</v>
      </c>
      <c r="B833" s="16" t="s">
        <v>2939</v>
      </c>
      <c r="C833" s="9">
        <v>16</v>
      </c>
      <c r="D833" s="9" t="str">
        <f t="shared" ca="1" si="16"/>
        <v>16 বছর 1 মাস 25 দিন</v>
      </c>
      <c r="E833" s="11" t="s">
        <v>2940</v>
      </c>
      <c r="F833" s="14">
        <v>31729</v>
      </c>
      <c r="G833" s="17">
        <v>46075</v>
      </c>
      <c r="H833" s="11" t="s">
        <v>2941</v>
      </c>
      <c r="I833" s="11" t="s">
        <v>292</v>
      </c>
      <c r="J833" s="11" t="s">
        <v>2278</v>
      </c>
      <c r="K833" s="11" t="s">
        <v>50</v>
      </c>
      <c r="L833" s="23">
        <v>46121</v>
      </c>
      <c r="M833" s="11"/>
      <c r="N833" s="9" t="s">
        <v>2260</v>
      </c>
      <c r="O833" s="11" t="s">
        <v>2132</v>
      </c>
      <c r="P833" s="11" t="s">
        <v>402</v>
      </c>
      <c r="Q833" s="11"/>
    </row>
    <row r="834" spans="1:17" ht="82.5" x14ac:dyDescent="0.25">
      <c r="A834" s="13">
        <v>823</v>
      </c>
      <c r="B834" s="16" t="s">
        <v>2942</v>
      </c>
      <c r="C834" s="9"/>
      <c r="D834" s="9" t="str">
        <f t="shared" ca="1" si="16"/>
        <v>0 বছর 1 মাস 25 দিন</v>
      </c>
      <c r="E834" s="11" t="s">
        <v>2943</v>
      </c>
      <c r="F834" s="14">
        <v>31730</v>
      </c>
      <c r="G834" s="17">
        <v>46075</v>
      </c>
      <c r="H834" s="11" t="s">
        <v>2944</v>
      </c>
      <c r="I834" s="11" t="s">
        <v>552</v>
      </c>
      <c r="J834" s="11" t="s">
        <v>1380</v>
      </c>
      <c r="K834" s="11" t="s">
        <v>50</v>
      </c>
      <c r="L834" s="23">
        <v>46090</v>
      </c>
      <c r="M834" s="11"/>
      <c r="N834" s="9" t="s">
        <v>2260</v>
      </c>
      <c r="O834" s="11" t="s">
        <v>2132</v>
      </c>
      <c r="P834" s="11" t="s">
        <v>402</v>
      </c>
      <c r="Q834" s="11"/>
    </row>
    <row r="835" spans="1:17" ht="82.5" x14ac:dyDescent="0.25">
      <c r="A835" s="13">
        <v>824</v>
      </c>
      <c r="B835" s="16" t="s">
        <v>2945</v>
      </c>
      <c r="C835" s="9">
        <v>15</v>
      </c>
      <c r="D835" s="9" t="str">
        <f t="shared" ca="1" si="16"/>
        <v>15 বছর 1 মাস 25 দিন</v>
      </c>
      <c r="E835" s="11" t="s">
        <v>2946</v>
      </c>
      <c r="F835" s="14">
        <v>31731</v>
      </c>
      <c r="G835" s="17">
        <v>46075</v>
      </c>
      <c r="H835" s="11" t="s">
        <v>2947</v>
      </c>
      <c r="I835" s="11" t="s">
        <v>27</v>
      </c>
      <c r="J835" s="11" t="s">
        <v>1380</v>
      </c>
      <c r="K835" s="11" t="s">
        <v>50</v>
      </c>
      <c r="L835" s="23">
        <v>46132</v>
      </c>
      <c r="M835" s="11"/>
      <c r="N835" s="9" t="s">
        <v>2260</v>
      </c>
      <c r="O835" s="11" t="s">
        <v>2132</v>
      </c>
      <c r="P835" s="11" t="s">
        <v>402</v>
      </c>
      <c r="Q835" s="11"/>
    </row>
    <row r="836" spans="1:17" ht="82.5" x14ac:dyDescent="0.25">
      <c r="A836" s="13">
        <v>825</v>
      </c>
      <c r="B836" s="16" t="s">
        <v>2948</v>
      </c>
      <c r="C836" s="9">
        <v>17</v>
      </c>
      <c r="D836" s="9" t="str">
        <f t="shared" ca="1" si="16"/>
        <v>17 বছর 1 মাস 25 দিন</v>
      </c>
      <c r="E836" s="11" t="s">
        <v>2949</v>
      </c>
      <c r="F836" s="14">
        <v>31732</v>
      </c>
      <c r="G836" s="17">
        <v>46075</v>
      </c>
      <c r="H836" s="11" t="s">
        <v>2950</v>
      </c>
      <c r="I836" s="11" t="s">
        <v>38</v>
      </c>
      <c r="J836" s="11" t="s">
        <v>917</v>
      </c>
      <c r="K836" s="11" t="s">
        <v>50</v>
      </c>
      <c r="L836" s="23">
        <v>46076</v>
      </c>
      <c r="M836" s="11"/>
      <c r="N836" s="9" t="s">
        <v>2260</v>
      </c>
      <c r="O836" s="11" t="s">
        <v>2132</v>
      </c>
      <c r="P836" s="11" t="s">
        <v>402</v>
      </c>
      <c r="Q836" s="11"/>
    </row>
    <row r="837" spans="1:17" ht="82.5" x14ac:dyDescent="0.25">
      <c r="A837" s="13">
        <v>826</v>
      </c>
      <c r="B837" s="16" t="s">
        <v>2951</v>
      </c>
      <c r="C837" s="9">
        <v>17</v>
      </c>
      <c r="D837" s="9" t="str">
        <f t="shared" ca="1" si="16"/>
        <v>17 বছর 1 মাস 25 দিন</v>
      </c>
      <c r="E837" s="11" t="s">
        <v>2952</v>
      </c>
      <c r="F837" s="14">
        <v>31733</v>
      </c>
      <c r="G837" s="17">
        <v>46075</v>
      </c>
      <c r="H837" s="11" t="s">
        <v>2953</v>
      </c>
      <c r="I837" s="11" t="s">
        <v>38</v>
      </c>
      <c r="J837" s="11" t="s">
        <v>917</v>
      </c>
      <c r="K837" s="11" t="s">
        <v>50</v>
      </c>
      <c r="L837" s="23">
        <v>46133</v>
      </c>
      <c r="M837" s="11"/>
      <c r="N837" s="9" t="s">
        <v>2260</v>
      </c>
      <c r="O837" s="11" t="s">
        <v>2132</v>
      </c>
      <c r="P837" s="11" t="s">
        <v>402</v>
      </c>
      <c r="Q837" s="11"/>
    </row>
    <row r="838" spans="1:17" ht="82.5" x14ac:dyDescent="0.25">
      <c r="A838" s="13">
        <v>827</v>
      </c>
      <c r="B838" s="16" t="s">
        <v>2954</v>
      </c>
      <c r="C838" s="9">
        <v>16</v>
      </c>
      <c r="D838" s="9" t="str">
        <f t="shared" ca="1" si="16"/>
        <v>16 বছর 1 মাস 25 দিন</v>
      </c>
      <c r="E838" s="11" t="s">
        <v>2955</v>
      </c>
      <c r="F838" s="14">
        <v>31734</v>
      </c>
      <c r="G838" s="17">
        <v>46075</v>
      </c>
      <c r="H838" s="11" t="s">
        <v>2956</v>
      </c>
      <c r="I838" s="11" t="s">
        <v>27</v>
      </c>
      <c r="J838" s="11" t="s">
        <v>2291</v>
      </c>
      <c r="K838" s="11" t="s">
        <v>50</v>
      </c>
      <c r="L838" s="23"/>
      <c r="M838" s="11"/>
      <c r="N838" s="9" t="s">
        <v>2260</v>
      </c>
      <c r="O838" s="11" t="s">
        <v>2132</v>
      </c>
      <c r="P838" s="11" t="s">
        <v>402</v>
      </c>
      <c r="Q838" s="11"/>
    </row>
    <row r="839" spans="1:17" ht="82.5" x14ac:dyDescent="0.25">
      <c r="A839" s="13">
        <v>828</v>
      </c>
      <c r="B839" s="16" t="s">
        <v>2957</v>
      </c>
      <c r="C839" s="9"/>
      <c r="D839" s="9" t="str">
        <f t="shared" ca="1" si="16"/>
        <v>0 বছর 1 মাস 25 দিন</v>
      </c>
      <c r="E839" s="11" t="s">
        <v>2958</v>
      </c>
      <c r="F839" s="14">
        <v>31735</v>
      </c>
      <c r="G839" s="17">
        <v>46075</v>
      </c>
      <c r="H839" s="11" t="s">
        <v>2959</v>
      </c>
      <c r="I839" s="11" t="s">
        <v>27</v>
      </c>
      <c r="J839" s="11" t="s">
        <v>1939</v>
      </c>
      <c r="K839" s="11" t="s">
        <v>50</v>
      </c>
      <c r="L839" s="23">
        <v>46117</v>
      </c>
      <c r="M839" s="11"/>
      <c r="N839" s="9" t="s">
        <v>2260</v>
      </c>
      <c r="O839" s="11" t="s">
        <v>2132</v>
      </c>
      <c r="P839" s="11" t="s">
        <v>402</v>
      </c>
      <c r="Q839" s="11"/>
    </row>
    <row r="840" spans="1:17" ht="82.5" x14ac:dyDescent="0.25">
      <c r="A840" s="13">
        <v>829</v>
      </c>
      <c r="B840" s="16" t="s">
        <v>2960</v>
      </c>
      <c r="C840" s="9">
        <v>17</v>
      </c>
      <c r="D840" s="9" t="str">
        <f t="shared" ca="1" si="16"/>
        <v>17 বছর 1 মাস 25 দিন</v>
      </c>
      <c r="E840" s="11" t="s">
        <v>2961</v>
      </c>
      <c r="F840" s="14">
        <v>31736</v>
      </c>
      <c r="G840" s="17">
        <v>46075</v>
      </c>
      <c r="H840" s="11" t="s">
        <v>2962</v>
      </c>
      <c r="I840" s="11" t="s">
        <v>265</v>
      </c>
      <c r="J840" s="11" t="s">
        <v>1905</v>
      </c>
      <c r="K840" s="11" t="s">
        <v>50</v>
      </c>
      <c r="L840" s="23">
        <v>46106</v>
      </c>
      <c r="M840" s="11"/>
      <c r="N840" s="9" t="s">
        <v>2260</v>
      </c>
      <c r="O840" s="11" t="s">
        <v>2132</v>
      </c>
      <c r="P840" s="11" t="s">
        <v>402</v>
      </c>
      <c r="Q840" s="11"/>
    </row>
    <row r="841" spans="1:17" ht="82.5" x14ac:dyDescent="0.25">
      <c r="A841" s="13">
        <v>830</v>
      </c>
      <c r="B841" s="16" t="s">
        <v>2963</v>
      </c>
      <c r="C841" s="9">
        <v>15</v>
      </c>
      <c r="D841" s="9" t="str">
        <f t="shared" ca="1" si="16"/>
        <v>15 বছর 1 মাস 25 দিন</v>
      </c>
      <c r="E841" s="11" t="s">
        <v>2964</v>
      </c>
      <c r="F841" s="14">
        <v>31737</v>
      </c>
      <c r="G841" s="17">
        <v>46075</v>
      </c>
      <c r="H841" s="11" t="s">
        <v>2962</v>
      </c>
      <c r="I841" s="11" t="s">
        <v>265</v>
      </c>
      <c r="J841" s="11" t="s">
        <v>1905</v>
      </c>
      <c r="K841" s="11" t="s">
        <v>50</v>
      </c>
      <c r="L841" s="23">
        <v>46106</v>
      </c>
      <c r="M841" s="11"/>
      <c r="N841" s="9" t="s">
        <v>2260</v>
      </c>
      <c r="O841" s="11" t="s">
        <v>2132</v>
      </c>
      <c r="P841" s="11" t="s">
        <v>402</v>
      </c>
      <c r="Q841" s="11"/>
    </row>
    <row r="842" spans="1:17" ht="66" x14ac:dyDescent="0.25">
      <c r="A842" s="13">
        <v>831</v>
      </c>
      <c r="B842" s="16" t="s">
        <v>2965</v>
      </c>
      <c r="C842" s="9">
        <v>15</v>
      </c>
      <c r="D842" s="9" t="str">
        <f t="shared" ca="1" si="16"/>
        <v>15 বছর 1 মাস 25 দিন</v>
      </c>
      <c r="E842" s="11" t="s">
        <v>2966</v>
      </c>
      <c r="F842" s="14">
        <v>31738</v>
      </c>
      <c r="G842" s="17">
        <v>46075</v>
      </c>
      <c r="H842" s="11" t="s">
        <v>2967</v>
      </c>
      <c r="I842" s="11" t="s">
        <v>196</v>
      </c>
      <c r="J842" s="11" t="s">
        <v>1231</v>
      </c>
      <c r="K842" s="11" t="s">
        <v>50</v>
      </c>
      <c r="L842" s="23">
        <v>46119</v>
      </c>
      <c r="M842" s="11"/>
      <c r="N842" s="9" t="s">
        <v>2260</v>
      </c>
      <c r="O842" s="11" t="s">
        <v>2132</v>
      </c>
      <c r="P842" s="16" t="s">
        <v>158</v>
      </c>
      <c r="Q842" s="11" t="s">
        <v>288</v>
      </c>
    </row>
    <row r="843" spans="1:17" ht="66" x14ac:dyDescent="0.25">
      <c r="A843" s="13">
        <v>832</v>
      </c>
      <c r="B843" s="16" t="s">
        <v>2968</v>
      </c>
      <c r="C843" s="9">
        <v>15</v>
      </c>
      <c r="D843" s="9" t="str">
        <f t="shared" ca="1" si="16"/>
        <v>15 বছর 1 মাস 25 দিন</v>
      </c>
      <c r="E843" s="11" t="s">
        <v>2969</v>
      </c>
      <c r="F843" s="14">
        <v>31739</v>
      </c>
      <c r="G843" s="17">
        <v>46075</v>
      </c>
      <c r="H843" s="11" t="s">
        <v>2967</v>
      </c>
      <c r="I843" s="11" t="s">
        <v>196</v>
      </c>
      <c r="J843" s="11" t="s">
        <v>1231</v>
      </c>
      <c r="K843" s="11" t="s">
        <v>50</v>
      </c>
      <c r="L843" s="23">
        <v>46119</v>
      </c>
      <c r="M843" s="11"/>
      <c r="N843" s="9" t="s">
        <v>2260</v>
      </c>
      <c r="O843" s="11" t="s">
        <v>2132</v>
      </c>
      <c r="P843" s="16" t="s">
        <v>158</v>
      </c>
      <c r="Q843" s="11" t="s">
        <v>288</v>
      </c>
    </row>
    <row r="844" spans="1:17" ht="66" x14ac:dyDescent="0.25">
      <c r="A844" s="13">
        <v>833</v>
      </c>
      <c r="B844" s="16" t="s">
        <v>2970</v>
      </c>
      <c r="C844" s="9">
        <v>16</v>
      </c>
      <c r="D844" s="9" t="str">
        <f t="shared" ca="1" si="16"/>
        <v>16 বছর 1 মাস 25 দিন</v>
      </c>
      <c r="E844" s="11" t="s">
        <v>2971</v>
      </c>
      <c r="F844" s="14">
        <v>31740</v>
      </c>
      <c r="G844" s="17">
        <v>46075</v>
      </c>
      <c r="H844" s="11" t="s">
        <v>2967</v>
      </c>
      <c r="I844" s="11" t="s">
        <v>196</v>
      </c>
      <c r="J844" s="11" t="s">
        <v>1231</v>
      </c>
      <c r="K844" s="11" t="s">
        <v>50</v>
      </c>
      <c r="L844" s="23">
        <v>46119</v>
      </c>
      <c r="M844" s="11"/>
      <c r="N844" s="9" t="s">
        <v>2260</v>
      </c>
      <c r="O844" s="11" t="s">
        <v>2132</v>
      </c>
      <c r="P844" s="16" t="s">
        <v>158</v>
      </c>
      <c r="Q844" s="11" t="s">
        <v>288</v>
      </c>
    </row>
    <row r="845" spans="1:17" ht="82.5" x14ac:dyDescent="0.25">
      <c r="A845" s="13">
        <v>834</v>
      </c>
      <c r="B845" s="16" t="s">
        <v>2972</v>
      </c>
      <c r="C845" s="9">
        <v>15</v>
      </c>
      <c r="D845" s="9" t="str">
        <f t="shared" ca="1" si="16"/>
        <v>15 বছর 1 মাস 25 দিন</v>
      </c>
      <c r="E845" s="11" t="s">
        <v>2973</v>
      </c>
      <c r="F845" s="14">
        <v>31741</v>
      </c>
      <c r="G845" s="17">
        <v>46075</v>
      </c>
      <c r="H845" s="11" t="s">
        <v>2967</v>
      </c>
      <c r="I845" s="11" t="s">
        <v>196</v>
      </c>
      <c r="J845" s="11" t="s">
        <v>1231</v>
      </c>
      <c r="K845" s="11" t="s">
        <v>50</v>
      </c>
      <c r="L845" s="23">
        <v>46119</v>
      </c>
      <c r="M845" s="11"/>
      <c r="N845" s="9" t="s">
        <v>2260</v>
      </c>
      <c r="O845" s="11" t="s">
        <v>2132</v>
      </c>
      <c r="P845" s="11" t="s">
        <v>402</v>
      </c>
      <c r="Q845" s="11"/>
    </row>
    <row r="846" spans="1:17" ht="66" x14ac:dyDescent="0.25">
      <c r="A846" s="13">
        <v>835</v>
      </c>
      <c r="B846" s="16" t="s">
        <v>2974</v>
      </c>
      <c r="C846" s="9">
        <v>17</v>
      </c>
      <c r="D846" s="9" t="str">
        <f t="shared" ca="1" si="16"/>
        <v>17 বছর 1 মাস 25 দিন</v>
      </c>
      <c r="E846" s="11" t="s">
        <v>2975</v>
      </c>
      <c r="F846" s="14">
        <v>31742</v>
      </c>
      <c r="G846" s="17">
        <v>46075</v>
      </c>
      <c r="H846" s="11" t="s">
        <v>2967</v>
      </c>
      <c r="I846" s="11" t="s">
        <v>196</v>
      </c>
      <c r="J846" s="11" t="s">
        <v>1231</v>
      </c>
      <c r="K846" s="11" t="s">
        <v>50</v>
      </c>
      <c r="L846" s="23">
        <v>46119</v>
      </c>
      <c r="M846" s="11"/>
      <c r="N846" s="9" t="s">
        <v>2260</v>
      </c>
      <c r="O846" s="11" t="s">
        <v>2132</v>
      </c>
      <c r="P846" s="16" t="s">
        <v>158</v>
      </c>
      <c r="Q846" s="11" t="s">
        <v>288</v>
      </c>
    </row>
    <row r="847" spans="1:17" ht="82.5" x14ac:dyDescent="0.25">
      <c r="A847" s="13">
        <v>836</v>
      </c>
      <c r="B847" s="16" t="s">
        <v>2976</v>
      </c>
      <c r="C847" s="9"/>
      <c r="D847" s="9" t="str">
        <f t="shared" ca="1" si="16"/>
        <v>0 বছর 1 মাস 25 দিন</v>
      </c>
      <c r="E847" s="11" t="s">
        <v>2977</v>
      </c>
      <c r="F847" s="14">
        <v>31743</v>
      </c>
      <c r="G847" s="17">
        <v>46075</v>
      </c>
      <c r="H847" s="11" t="s">
        <v>2978</v>
      </c>
      <c r="I847" s="11"/>
      <c r="J847" s="11" t="s">
        <v>1209</v>
      </c>
      <c r="K847" s="11" t="s">
        <v>50</v>
      </c>
      <c r="L847" s="23">
        <v>46092</v>
      </c>
      <c r="M847" s="11"/>
      <c r="N847" s="9" t="s">
        <v>2260</v>
      </c>
      <c r="O847" s="11" t="s">
        <v>2132</v>
      </c>
      <c r="P847" s="11" t="s">
        <v>402</v>
      </c>
      <c r="Q847" s="11"/>
    </row>
    <row r="848" spans="1:17" ht="82.5" x14ac:dyDescent="0.25">
      <c r="A848" s="13">
        <v>837</v>
      </c>
      <c r="B848" s="16" t="s">
        <v>2979</v>
      </c>
      <c r="C848" s="9"/>
      <c r="D848" s="9" t="str">
        <f t="shared" ca="1" si="16"/>
        <v>0 বছর 1 মাস 25 দিন</v>
      </c>
      <c r="E848" s="11" t="s">
        <v>2980</v>
      </c>
      <c r="F848" s="14">
        <v>31744</v>
      </c>
      <c r="G848" s="17">
        <v>46075</v>
      </c>
      <c r="H848" s="11" t="s">
        <v>2981</v>
      </c>
      <c r="I848" s="11" t="s">
        <v>588</v>
      </c>
      <c r="J848" s="11" t="s">
        <v>2542</v>
      </c>
      <c r="K848" s="11" t="s">
        <v>50</v>
      </c>
      <c r="L848" s="23">
        <v>46093</v>
      </c>
      <c r="M848" s="11"/>
      <c r="N848" s="9" t="s">
        <v>2260</v>
      </c>
      <c r="O848" s="11" t="s">
        <v>2132</v>
      </c>
      <c r="P848" s="11" t="s">
        <v>402</v>
      </c>
      <c r="Q848" s="11"/>
    </row>
    <row r="849" spans="1:17" ht="82.5" x14ac:dyDescent="0.25">
      <c r="A849" s="13">
        <v>838</v>
      </c>
      <c r="B849" s="16" t="s">
        <v>2982</v>
      </c>
      <c r="C849" s="9">
        <v>16</v>
      </c>
      <c r="D849" s="9" t="str">
        <f t="shared" ca="1" si="16"/>
        <v>16 বছর 1 মাস 25 দিন</v>
      </c>
      <c r="E849" s="11" t="s">
        <v>2983</v>
      </c>
      <c r="F849" s="14">
        <v>31746</v>
      </c>
      <c r="G849" s="17">
        <v>46075</v>
      </c>
      <c r="H849" s="11" t="s">
        <v>2984</v>
      </c>
      <c r="I849" s="11" t="s">
        <v>588</v>
      </c>
      <c r="J849" s="11" t="s">
        <v>943</v>
      </c>
      <c r="K849" s="11" t="s">
        <v>50</v>
      </c>
      <c r="L849" s="23">
        <v>46093</v>
      </c>
      <c r="M849" s="11"/>
      <c r="N849" s="9" t="s">
        <v>2260</v>
      </c>
      <c r="O849" s="11" t="s">
        <v>2132</v>
      </c>
      <c r="P849" s="11" t="s">
        <v>402</v>
      </c>
      <c r="Q849" s="11"/>
    </row>
    <row r="850" spans="1:17" ht="82.5" x14ac:dyDescent="0.25">
      <c r="A850" s="13">
        <v>839</v>
      </c>
      <c r="B850" s="16" t="s">
        <v>2985</v>
      </c>
      <c r="C850" s="9">
        <v>14</v>
      </c>
      <c r="D850" s="9" t="str">
        <f t="shared" ca="1" si="16"/>
        <v>14 বছর 1 মাস 25 দিন</v>
      </c>
      <c r="E850" s="11" t="s">
        <v>2986</v>
      </c>
      <c r="F850" s="14">
        <v>31747</v>
      </c>
      <c r="G850" s="17">
        <v>46075</v>
      </c>
      <c r="H850" s="11" t="s">
        <v>2987</v>
      </c>
      <c r="I850" s="11" t="s">
        <v>196</v>
      </c>
      <c r="J850" s="11" t="s">
        <v>1905</v>
      </c>
      <c r="K850" s="11" t="s">
        <v>50</v>
      </c>
      <c r="L850" s="23">
        <v>46153</v>
      </c>
      <c r="M850" s="11"/>
      <c r="N850" s="9" t="s">
        <v>2260</v>
      </c>
      <c r="O850" s="11" t="s">
        <v>2132</v>
      </c>
      <c r="P850" s="11" t="s">
        <v>402</v>
      </c>
      <c r="Q850" s="11"/>
    </row>
    <row r="851" spans="1:17" ht="82.5" x14ac:dyDescent="0.25">
      <c r="A851" s="13">
        <v>840</v>
      </c>
      <c r="B851" s="16" t="s">
        <v>2988</v>
      </c>
      <c r="C851" s="9"/>
      <c r="D851" s="9" t="str">
        <f t="shared" ca="1" si="16"/>
        <v>0 বছর 1 মাস 25 দিন</v>
      </c>
      <c r="E851" s="11" t="s">
        <v>2986</v>
      </c>
      <c r="F851" s="14">
        <v>31748</v>
      </c>
      <c r="G851" s="17">
        <v>46075</v>
      </c>
      <c r="H851" s="11" t="s">
        <v>2987</v>
      </c>
      <c r="I851" s="11" t="s">
        <v>196</v>
      </c>
      <c r="J851" s="11" t="s">
        <v>1905</v>
      </c>
      <c r="K851" s="11" t="s">
        <v>50</v>
      </c>
      <c r="L851" s="23">
        <v>46153</v>
      </c>
      <c r="M851" s="11"/>
      <c r="N851" s="9" t="s">
        <v>2260</v>
      </c>
      <c r="O851" s="11" t="s">
        <v>2132</v>
      </c>
      <c r="P851" s="11" t="s">
        <v>402</v>
      </c>
      <c r="Q851" s="11"/>
    </row>
    <row r="852" spans="1:17" ht="82.5" x14ac:dyDescent="0.25">
      <c r="A852" s="13">
        <v>841</v>
      </c>
      <c r="B852" s="16" t="s">
        <v>2989</v>
      </c>
      <c r="C852" s="9">
        <v>17</v>
      </c>
      <c r="D852" s="9" t="str">
        <f t="shared" ca="1" si="16"/>
        <v>17 বছর 1 মাস 25 দিন</v>
      </c>
      <c r="E852" s="11" t="s">
        <v>2986</v>
      </c>
      <c r="F852" s="14">
        <v>31749</v>
      </c>
      <c r="G852" s="17">
        <v>46075</v>
      </c>
      <c r="H852" s="11" t="s">
        <v>2987</v>
      </c>
      <c r="I852" s="11" t="s">
        <v>196</v>
      </c>
      <c r="J852" s="11" t="s">
        <v>1905</v>
      </c>
      <c r="K852" s="11" t="s">
        <v>50</v>
      </c>
      <c r="L852" s="23">
        <v>46153</v>
      </c>
      <c r="M852" s="11"/>
      <c r="N852" s="9" t="s">
        <v>2260</v>
      </c>
      <c r="O852" s="11" t="s">
        <v>2132</v>
      </c>
      <c r="P852" s="11" t="s">
        <v>402</v>
      </c>
      <c r="Q852" s="11"/>
    </row>
    <row r="853" spans="1:17" ht="82.5" x14ac:dyDescent="0.25">
      <c r="A853" s="13">
        <v>842</v>
      </c>
      <c r="B853" s="16" t="s">
        <v>2990</v>
      </c>
      <c r="C853" s="9">
        <v>14</v>
      </c>
      <c r="D853" s="9" t="str">
        <f t="shared" ca="1" si="16"/>
        <v>14 বছর 1 মাস 25 দিন</v>
      </c>
      <c r="E853" s="11" t="s">
        <v>2986</v>
      </c>
      <c r="F853" s="14">
        <v>31750</v>
      </c>
      <c r="G853" s="17">
        <v>46075</v>
      </c>
      <c r="H853" s="11" t="s">
        <v>2987</v>
      </c>
      <c r="I853" s="11" t="s">
        <v>196</v>
      </c>
      <c r="J853" s="11" t="s">
        <v>1905</v>
      </c>
      <c r="K853" s="11" t="s">
        <v>50</v>
      </c>
      <c r="L853" s="23">
        <v>46153</v>
      </c>
      <c r="M853" s="11"/>
      <c r="N853" s="9" t="s">
        <v>2260</v>
      </c>
      <c r="O853" s="11" t="s">
        <v>2132</v>
      </c>
      <c r="P853" s="11" t="s">
        <v>402</v>
      </c>
      <c r="Q853" s="11"/>
    </row>
    <row r="854" spans="1:17" ht="82.5" x14ac:dyDescent="0.25">
      <c r="A854" s="13">
        <v>843</v>
      </c>
      <c r="B854" s="16" t="s">
        <v>2991</v>
      </c>
      <c r="C854" s="9">
        <v>15</v>
      </c>
      <c r="D854" s="9" t="str">
        <f t="shared" ca="1" si="16"/>
        <v>15 বছর 1 মাস 25 দিন</v>
      </c>
      <c r="E854" s="11" t="s">
        <v>2986</v>
      </c>
      <c r="F854" s="14">
        <v>31751</v>
      </c>
      <c r="G854" s="17">
        <v>46075</v>
      </c>
      <c r="H854" s="11" t="s">
        <v>2987</v>
      </c>
      <c r="I854" s="11" t="s">
        <v>196</v>
      </c>
      <c r="J854" s="11" t="s">
        <v>1905</v>
      </c>
      <c r="K854" s="11" t="s">
        <v>50</v>
      </c>
      <c r="L854" s="23">
        <v>46153</v>
      </c>
      <c r="M854" s="11"/>
      <c r="N854" s="9" t="s">
        <v>2260</v>
      </c>
      <c r="O854" s="11" t="s">
        <v>2132</v>
      </c>
      <c r="P854" s="11" t="s">
        <v>402</v>
      </c>
      <c r="Q854" s="11"/>
    </row>
    <row r="855" spans="1:17" ht="82.5" x14ac:dyDescent="0.25">
      <c r="A855" s="13">
        <v>844</v>
      </c>
      <c r="B855" s="16" t="s">
        <v>2992</v>
      </c>
      <c r="C855" s="9"/>
      <c r="D855" s="9" t="str">
        <f t="shared" ca="1" si="16"/>
        <v>0 বছর 1 মাস 25 দিন</v>
      </c>
      <c r="E855" s="11" t="s">
        <v>2993</v>
      </c>
      <c r="F855" s="14">
        <v>31752</v>
      </c>
      <c r="G855" s="17">
        <v>46075</v>
      </c>
      <c r="H855" s="11" t="s">
        <v>2994</v>
      </c>
      <c r="I855" s="11" t="s">
        <v>38</v>
      </c>
      <c r="J855" s="11" t="s">
        <v>2562</v>
      </c>
      <c r="K855" s="11" t="s">
        <v>50</v>
      </c>
      <c r="L855" s="23">
        <v>46131</v>
      </c>
      <c r="M855" s="11"/>
      <c r="N855" s="9" t="s">
        <v>2260</v>
      </c>
      <c r="O855" s="11" t="s">
        <v>2132</v>
      </c>
      <c r="P855" s="11" t="s">
        <v>402</v>
      </c>
      <c r="Q855" s="11"/>
    </row>
    <row r="856" spans="1:17" ht="82.5" x14ac:dyDescent="0.25">
      <c r="A856" s="13">
        <v>845</v>
      </c>
      <c r="B856" s="16" t="s">
        <v>2995</v>
      </c>
      <c r="C856" s="9">
        <v>16</v>
      </c>
      <c r="D856" s="9" t="str">
        <f t="shared" ca="1" si="16"/>
        <v>16 বছর 1 মাস 25 দিন</v>
      </c>
      <c r="E856" s="11" t="s">
        <v>2996</v>
      </c>
      <c r="F856" s="14">
        <v>31753</v>
      </c>
      <c r="G856" s="17">
        <v>46075</v>
      </c>
      <c r="H856" s="11" t="s">
        <v>2997</v>
      </c>
      <c r="I856" s="11" t="s">
        <v>48</v>
      </c>
      <c r="J856" s="11" t="s">
        <v>2562</v>
      </c>
      <c r="K856" s="11" t="s">
        <v>50</v>
      </c>
      <c r="L856" s="23">
        <v>46093</v>
      </c>
      <c r="M856" s="11"/>
      <c r="N856" s="9" t="s">
        <v>2260</v>
      </c>
      <c r="O856" s="11" t="s">
        <v>2132</v>
      </c>
      <c r="P856" s="11" t="s">
        <v>402</v>
      </c>
      <c r="Q856" s="11"/>
    </row>
    <row r="857" spans="1:17" ht="82.5" x14ac:dyDescent="0.25">
      <c r="A857" s="13">
        <v>846</v>
      </c>
      <c r="B857" s="16" t="s">
        <v>2998</v>
      </c>
      <c r="C857" s="9">
        <v>14</v>
      </c>
      <c r="D857" s="9" t="str">
        <f t="shared" ca="1" si="16"/>
        <v>14 বছর 1 মাস 25 দিন</v>
      </c>
      <c r="E857" s="11" t="s">
        <v>2999</v>
      </c>
      <c r="F857" s="14">
        <v>31754</v>
      </c>
      <c r="G857" s="17">
        <v>46075</v>
      </c>
      <c r="H857" s="11" t="s">
        <v>3000</v>
      </c>
      <c r="I857" s="11" t="s">
        <v>265</v>
      </c>
      <c r="J857" s="11" t="s">
        <v>2562</v>
      </c>
      <c r="K857" s="11" t="s">
        <v>50</v>
      </c>
      <c r="L857" s="23">
        <v>46114</v>
      </c>
      <c r="M857" s="11"/>
      <c r="N857" s="9" t="s">
        <v>2260</v>
      </c>
      <c r="O857" s="11" t="s">
        <v>2132</v>
      </c>
      <c r="P857" s="11" t="s">
        <v>402</v>
      </c>
      <c r="Q857" s="11"/>
    </row>
    <row r="858" spans="1:17" ht="82.5" x14ac:dyDescent="0.25">
      <c r="A858" s="13">
        <v>847</v>
      </c>
      <c r="B858" s="16" t="s">
        <v>3001</v>
      </c>
      <c r="C858" s="9">
        <v>17</v>
      </c>
      <c r="D858" s="9" t="str">
        <f t="shared" ca="1" si="16"/>
        <v>17 বছর 1 মাস 24 দিন</v>
      </c>
      <c r="E858" s="11" t="s">
        <v>3002</v>
      </c>
      <c r="F858" s="14">
        <v>31755</v>
      </c>
      <c r="G858" s="17">
        <v>46076</v>
      </c>
      <c r="H858" s="11" t="s">
        <v>3003</v>
      </c>
      <c r="I858" s="11" t="s">
        <v>38</v>
      </c>
      <c r="J858" s="11" t="s">
        <v>1179</v>
      </c>
      <c r="K858" s="11" t="s">
        <v>50</v>
      </c>
      <c r="L858" s="23">
        <v>46121</v>
      </c>
      <c r="M858" s="11"/>
      <c r="N858" s="9" t="s">
        <v>929</v>
      </c>
      <c r="O858" s="11" t="s">
        <v>2132</v>
      </c>
      <c r="P858" s="11" t="s">
        <v>402</v>
      </c>
      <c r="Q858" s="11"/>
    </row>
    <row r="859" spans="1:17" ht="82.5" x14ac:dyDescent="0.25">
      <c r="A859" s="13">
        <v>848</v>
      </c>
      <c r="B859" s="16" t="s">
        <v>3004</v>
      </c>
      <c r="C859" s="9">
        <v>14</v>
      </c>
      <c r="D859" s="9" t="str">
        <f t="shared" ca="1" si="16"/>
        <v>14 বছর 1 মাস 23 দিন</v>
      </c>
      <c r="E859" s="11" t="s">
        <v>3005</v>
      </c>
      <c r="F859" s="14">
        <v>31756</v>
      </c>
      <c r="G859" s="17">
        <v>46077</v>
      </c>
      <c r="H859" s="11" t="s">
        <v>3006</v>
      </c>
      <c r="I859" s="11"/>
      <c r="J859" s="11" t="s">
        <v>3007</v>
      </c>
      <c r="K859" s="11" t="s">
        <v>50</v>
      </c>
      <c r="L859" s="23">
        <v>46084</v>
      </c>
      <c r="M859" s="11"/>
      <c r="N859" s="9" t="s">
        <v>929</v>
      </c>
      <c r="O859" s="11" t="s">
        <v>2132</v>
      </c>
      <c r="P859" s="11" t="s">
        <v>402</v>
      </c>
      <c r="Q859" s="11"/>
    </row>
    <row r="860" spans="1:17" ht="82.5" x14ac:dyDescent="0.25">
      <c r="A860" s="13">
        <v>849</v>
      </c>
      <c r="B860" s="16" t="s">
        <v>3008</v>
      </c>
      <c r="C860" s="9">
        <v>16</v>
      </c>
      <c r="D860" s="9" t="str">
        <f t="shared" ca="1" si="16"/>
        <v>16 বছর 1 মাস 23 দিন</v>
      </c>
      <c r="E860" s="11" t="s">
        <v>3009</v>
      </c>
      <c r="F860" s="14">
        <v>31757</v>
      </c>
      <c r="G860" s="17">
        <v>46077</v>
      </c>
      <c r="H860" s="11" t="s">
        <v>3010</v>
      </c>
      <c r="I860" s="11" t="s">
        <v>27</v>
      </c>
      <c r="J860" s="11" t="s">
        <v>1261</v>
      </c>
      <c r="K860" s="11" t="s">
        <v>50</v>
      </c>
      <c r="L860" s="23">
        <v>46099</v>
      </c>
      <c r="M860" s="11"/>
      <c r="N860" s="9" t="s">
        <v>929</v>
      </c>
      <c r="O860" s="11" t="s">
        <v>2132</v>
      </c>
      <c r="P860" s="11" t="s">
        <v>402</v>
      </c>
      <c r="Q860" s="11"/>
    </row>
    <row r="861" spans="1:17" ht="82.5" x14ac:dyDescent="0.25">
      <c r="A861" s="13">
        <v>850</v>
      </c>
      <c r="B861" s="16" t="s">
        <v>3011</v>
      </c>
      <c r="C861" s="9">
        <v>16</v>
      </c>
      <c r="D861" s="9" t="str">
        <f t="shared" ca="1" si="16"/>
        <v>16 বছর 1 মাস 23 দিন</v>
      </c>
      <c r="E861" s="11" t="s">
        <v>3012</v>
      </c>
      <c r="F861" s="14">
        <v>31758</v>
      </c>
      <c r="G861" s="17">
        <v>46077</v>
      </c>
      <c r="H861" s="11" t="s">
        <v>3013</v>
      </c>
      <c r="I861" s="11" t="s">
        <v>265</v>
      </c>
      <c r="J861" s="11" t="s">
        <v>2047</v>
      </c>
      <c r="K861" s="11" t="s">
        <v>50</v>
      </c>
      <c r="L861" s="23">
        <v>46086</v>
      </c>
      <c r="M861" s="11"/>
      <c r="N861" s="9" t="s">
        <v>929</v>
      </c>
      <c r="O861" s="11" t="s">
        <v>2132</v>
      </c>
      <c r="P861" s="11" t="s">
        <v>402</v>
      </c>
      <c r="Q861" s="11"/>
    </row>
    <row r="862" spans="1:17" ht="82.5" x14ac:dyDescent="0.25">
      <c r="A862" s="13">
        <v>851</v>
      </c>
      <c r="B862" s="16" t="s">
        <v>3014</v>
      </c>
      <c r="C862" s="9">
        <v>15</v>
      </c>
      <c r="D862" s="9" t="str">
        <f t="shared" ca="1" si="16"/>
        <v>15 বছর 1 মাস 23 দিন</v>
      </c>
      <c r="E862" s="11" t="s">
        <v>3015</v>
      </c>
      <c r="F862" s="14">
        <v>31759</v>
      </c>
      <c r="G862" s="17">
        <v>46077</v>
      </c>
      <c r="H862" s="11" t="s">
        <v>3016</v>
      </c>
      <c r="I862" s="11" t="s">
        <v>48</v>
      </c>
      <c r="J862" s="11" t="s">
        <v>1905</v>
      </c>
      <c r="K862" s="11" t="s">
        <v>50</v>
      </c>
      <c r="L862" s="23">
        <v>46153</v>
      </c>
      <c r="M862" s="11"/>
      <c r="N862" s="9" t="s">
        <v>929</v>
      </c>
      <c r="O862" s="11" t="s">
        <v>2132</v>
      </c>
      <c r="P862" s="11" t="s">
        <v>402</v>
      </c>
      <c r="Q862" s="11"/>
    </row>
    <row r="863" spans="1:17" ht="82.5" x14ac:dyDescent="0.25">
      <c r="A863" s="13">
        <v>852</v>
      </c>
      <c r="B863" s="16" t="s">
        <v>3017</v>
      </c>
      <c r="C863" s="9">
        <v>14</v>
      </c>
      <c r="D863" s="9" t="str">
        <f t="shared" ca="1" si="16"/>
        <v>14 বছর 1 মাস 23 দিন</v>
      </c>
      <c r="E863" s="11" t="s">
        <v>3018</v>
      </c>
      <c r="F863" s="14">
        <v>31760</v>
      </c>
      <c r="G863" s="17">
        <v>46077</v>
      </c>
      <c r="H863" s="11" t="s">
        <v>3019</v>
      </c>
      <c r="I863" s="11" t="s">
        <v>196</v>
      </c>
      <c r="J863" s="11" t="s">
        <v>2324</v>
      </c>
      <c r="K863" s="11" t="s">
        <v>50</v>
      </c>
      <c r="L863" s="23">
        <v>46119</v>
      </c>
      <c r="M863" s="11"/>
      <c r="N863" s="9" t="s">
        <v>929</v>
      </c>
      <c r="O863" s="11" t="s">
        <v>2132</v>
      </c>
      <c r="P863" s="11" t="s">
        <v>402</v>
      </c>
      <c r="Q863" s="11"/>
    </row>
    <row r="864" spans="1:17" ht="82.5" x14ac:dyDescent="0.25">
      <c r="A864" s="13">
        <v>853</v>
      </c>
      <c r="B864" s="16" t="s">
        <v>3020</v>
      </c>
      <c r="C864" s="9">
        <v>16</v>
      </c>
      <c r="D864" s="9" t="str">
        <f t="shared" ca="1" si="16"/>
        <v>16 বছর 1 মাস 23 দিন</v>
      </c>
      <c r="E864" s="11" t="s">
        <v>3021</v>
      </c>
      <c r="F864" s="14">
        <v>31761</v>
      </c>
      <c r="G864" s="17">
        <v>46077</v>
      </c>
      <c r="H864" s="11" t="s">
        <v>3022</v>
      </c>
      <c r="I864" s="11" t="s">
        <v>196</v>
      </c>
      <c r="J864" s="11" t="s">
        <v>1200</v>
      </c>
      <c r="K864" s="11" t="s">
        <v>50</v>
      </c>
      <c r="L864" s="23">
        <v>46139</v>
      </c>
      <c r="M864" s="11"/>
      <c r="N864" s="9" t="s">
        <v>929</v>
      </c>
      <c r="O864" s="11" t="s">
        <v>2132</v>
      </c>
      <c r="P864" s="11" t="s">
        <v>402</v>
      </c>
      <c r="Q864" s="11"/>
    </row>
    <row r="865" spans="1:17" ht="82.5" x14ac:dyDescent="0.25">
      <c r="A865" s="13">
        <v>854</v>
      </c>
      <c r="B865" s="16" t="s">
        <v>3023</v>
      </c>
      <c r="C865" s="9">
        <v>17</v>
      </c>
      <c r="D865" s="9" t="str">
        <f t="shared" ca="1" si="16"/>
        <v>17 বছর 1 মাস 23 দিন</v>
      </c>
      <c r="E865" s="11" t="s">
        <v>3024</v>
      </c>
      <c r="F865" s="14">
        <v>31762</v>
      </c>
      <c r="G865" s="17">
        <v>46077</v>
      </c>
      <c r="H865" s="11" t="s">
        <v>3025</v>
      </c>
      <c r="I865" s="11" t="s">
        <v>27</v>
      </c>
      <c r="J865" s="11" t="s">
        <v>1248</v>
      </c>
      <c r="K865" s="11" t="s">
        <v>50</v>
      </c>
      <c r="L865" s="23">
        <v>46142</v>
      </c>
      <c r="M865" s="11"/>
      <c r="N865" s="9" t="s">
        <v>929</v>
      </c>
      <c r="O865" s="11" t="s">
        <v>2132</v>
      </c>
      <c r="P865" s="11" t="s">
        <v>402</v>
      </c>
      <c r="Q865" s="11"/>
    </row>
    <row r="866" spans="1:17" ht="82.5" x14ac:dyDescent="0.25">
      <c r="A866" s="13">
        <v>855</v>
      </c>
      <c r="B866" s="16" t="s">
        <v>3026</v>
      </c>
      <c r="C866" s="9">
        <v>17</v>
      </c>
      <c r="D866" s="9" t="str">
        <f t="shared" ca="1" si="16"/>
        <v>17 বছর 1 মাস 23 দিন</v>
      </c>
      <c r="E866" s="11" t="s">
        <v>3027</v>
      </c>
      <c r="F866" s="14">
        <v>31763</v>
      </c>
      <c r="G866" s="17">
        <v>46077</v>
      </c>
      <c r="H866" s="11" t="s">
        <v>3028</v>
      </c>
      <c r="I866" s="11" t="s">
        <v>27</v>
      </c>
      <c r="J866" s="11" t="s">
        <v>3029</v>
      </c>
      <c r="K866" s="11" t="s">
        <v>50</v>
      </c>
      <c r="L866" s="23">
        <v>46091</v>
      </c>
      <c r="M866" s="11"/>
      <c r="N866" s="9" t="s">
        <v>929</v>
      </c>
      <c r="O866" s="11" t="s">
        <v>2132</v>
      </c>
      <c r="P866" s="11" t="s">
        <v>402</v>
      </c>
      <c r="Q866" s="11"/>
    </row>
    <row r="867" spans="1:17" ht="82.5" x14ac:dyDescent="0.25">
      <c r="A867" s="13">
        <v>856</v>
      </c>
      <c r="B867" s="16" t="s">
        <v>3030</v>
      </c>
      <c r="C867" s="9">
        <v>15</v>
      </c>
      <c r="D867" s="9" t="str">
        <f t="shared" ca="1" si="16"/>
        <v>15 বছর 1 মাস 22 দিন</v>
      </c>
      <c r="E867" s="11" t="s">
        <v>3031</v>
      </c>
      <c r="F867" s="14">
        <v>31764</v>
      </c>
      <c r="G867" s="17">
        <v>46078</v>
      </c>
      <c r="H867" s="11" t="s">
        <v>3032</v>
      </c>
      <c r="I867" s="11" t="s">
        <v>196</v>
      </c>
      <c r="J867" s="11" t="s">
        <v>2782</v>
      </c>
      <c r="K867" s="11" t="s">
        <v>50</v>
      </c>
      <c r="L867" s="23">
        <v>46133</v>
      </c>
      <c r="M867" s="11"/>
      <c r="N867" s="9" t="s">
        <v>929</v>
      </c>
      <c r="O867" s="11" t="s">
        <v>2132</v>
      </c>
      <c r="P867" s="11" t="s">
        <v>402</v>
      </c>
      <c r="Q867" s="11"/>
    </row>
    <row r="868" spans="1:17" ht="82.5" x14ac:dyDescent="0.25">
      <c r="A868" s="13">
        <v>857</v>
      </c>
      <c r="B868" s="16" t="s">
        <v>3033</v>
      </c>
      <c r="C868" s="9">
        <v>14</v>
      </c>
      <c r="D868" s="9" t="str">
        <f t="shared" ca="1" si="16"/>
        <v>14 বছর 1 মাস 22 দিন</v>
      </c>
      <c r="E868" s="11" t="s">
        <v>3034</v>
      </c>
      <c r="F868" s="14">
        <v>31765</v>
      </c>
      <c r="G868" s="17">
        <v>46078</v>
      </c>
      <c r="H868" s="11" t="s">
        <v>3035</v>
      </c>
      <c r="I868" s="11" t="s">
        <v>27</v>
      </c>
      <c r="J868" s="11" t="s">
        <v>2782</v>
      </c>
      <c r="K868" s="11" t="s">
        <v>50</v>
      </c>
      <c r="L868" s="23">
        <v>46133</v>
      </c>
      <c r="M868" s="11"/>
      <c r="N868" s="9" t="s">
        <v>929</v>
      </c>
      <c r="O868" s="11" t="s">
        <v>2132</v>
      </c>
      <c r="P868" s="11" t="s">
        <v>402</v>
      </c>
      <c r="Q868" s="11"/>
    </row>
    <row r="869" spans="1:17" ht="82.5" x14ac:dyDescent="0.25">
      <c r="A869" s="13">
        <v>858</v>
      </c>
      <c r="B869" s="16" t="s">
        <v>3036</v>
      </c>
      <c r="C869" s="9">
        <v>14</v>
      </c>
      <c r="D869" s="9" t="str">
        <f t="shared" ca="1" si="16"/>
        <v>14 বছর 1 মাস 22 দিন</v>
      </c>
      <c r="E869" s="11" t="s">
        <v>3037</v>
      </c>
      <c r="F869" s="14">
        <v>31766</v>
      </c>
      <c r="G869" s="17">
        <v>46078</v>
      </c>
      <c r="H869" s="11" t="s">
        <v>3038</v>
      </c>
      <c r="I869" s="11" t="s">
        <v>265</v>
      </c>
      <c r="J869" s="11" t="s">
        <v>2782</v>
      </c>
      <c r="K869" s="11" t="s">
        <v>50</v>
      </c>
      <c r="L869" s="23">
        <v>46160</v>
      </c>
      <c r="M869" s="11"/>
      <c r="N869" s="9" t="s">
        <v>929</v>
      </c>
      <c r="O869" s="11" t="s">
        <v>2132</v>
      </c>
      <c r="P869" s="11" t="s">
        <v>402</v>
      </c>
      <c r="Q869" s="11"/>
    </row>
    <row r="870" spans="1:17" ht="82.5" x14ac:dyDescent="0.25">
      <c r="A870" s="13">
        <v>859</v>
      </c>
      <c r="B870" s="16" t="s">
        <v>3039</v>
      </c>
      <c r="C870" s="9"/>
      <c r="D870" s="9" t="str">
        <f t="shared" ca="1" si="16"/>
        <v>0 বছর 1 মাস 22 দিন</v>
      </c>
      <c r="E870" s="11" t="s">
        <v>3040</v>
      </c>
      <c r="F870" s="14">
        <v>31767</v>
      </c>
      <c r="G870" s="17">
        <v>46078</v>
      </c>
      <c r="H870" s="11" t="s">
        <v>3041</v>
      </c>
      <c r="I870" s="11" t="s">
        <v>265</v>
      </c>
      <c r="J870" s="11" t="s">
        <v>3042</v>
      </c>
      <c r="K870" s="11" t="s">
        <v>50</v>
      </c>
      <c r="L870" s="23">
        <v>46089</v>
      </c>
      <c r="M870" s="11"/>
      <c r="N870" s="9" t="s">
        <v>929</v>
      </c>
      <c r="O870" s="11" t="s">
        <v>2132</v>
      </c>
      <c r="P870" s="11" t="s">
        <v>402</v>
      </c>
      <c r="Q870" s="11"/>
    </row>
    <row r="871" spans="1:17" ht="82.5" x14ac:dyDescent="0.25">
      <c r="A871" s="13">
        <v>860</v>
      </c>
      <c r="B871" s="16" t="s">
        <v>3043</v>
      </c>
      <c r="C871" s="9">
        <v>17</v>
      </c>
      <c r="D871" s="9" t="str">
        <f t="shared" ca="1" si="16"/>
        <v>17 বছর 1 মাস 22 দিন</v>
      </c>
      <c r="E871" s="11" t="s">
        <v>3044</v>
      </c>
      <c r="F871" s="14">
        <v>31768</v>
      </c>
      <c r="G871" s="17">
        <v>46078</v>
      </c>
      <c r="H871" s="11" t="s">
        <v>3045</v>
      </c>
      <c r="I871" s="11" t="s">
        <v>196</v>
      </c>
      <c r="J871" s="11" t="s">
        <v>3042</v>
      </c>
      <c r="K871" s="11" t="s">
        <v>50</v>
      </c>
      <c r="L871" s="23">
        <v>46119</v>
      </c>
      <c r="M871" s="11"/>
      <c r="N871" s="9" t="s">
        <v>929</v>
      </c>
      <c r="O871" s="11" t="s">
        <v>2132</v>
      </c>
      <c r="P871" s="11" t="s">
        <v>402</v>
      </c>
      <c r="Q871" s="11"/>
    </row>
    <row r="872" spans="1:17" ht="82.5" x14ac:dyDescent="0.25">
      <c r="A872" s="13">
        <v>861</v>
      </c>
      <c r="B872" s="16" t="s">
        <v>3046</v>
      </c>
      <c r="C872" s="9">
        <v>17</v>
      </c>
      <c r="D872" s="9" t="str">
        <f t="shared" ca="1" si="16"/>
        <v>17 বছর 1 মাস 22 দিন</v>
      </c>
      <c r="E872" s="11" t="s">
        <v>3047</v>
      </c>
      <c r="F872" s="14">
        <v>31769</v>
      </c>
      <c r="G872" s="17">
        <v>46078</v>
      </c>
      <c r="H872" s="11" t="s">
        <v>3048</v>
      </c>
      <c r="I872" s="11" t="s">
        <v>265</v>
      </c>
      <c r="J872" s="11" t="s">
        <v>3049</v>
      </c>
      <c r="K872" s="11" t="s">
        <v>50</v>
      </c>
      <c r="L872" s="23">
        <v>46117</v>
      </c>
      <c r="M872" s="11"/>
      <c r="N872" s="9" t="s">
        <v>929</v>
      </c>
      <c r="O872" s="11" t="s">
        <v>2132</v>
      </c>
      <c r="P872" s="11" t="s">
        <v>402</v>
      </c>
      <c r="Q872" s="11"/>
    </row>
    <row r="873" spans="1:17" ht="82.5" x14ac:dyDescent="0.25">
      <c r="A873" s="13">
        <v>862</v>
      </c>
      <c r="B873" s="16" t="s">
        <v>3050</v>
      </c>
      <c r="C873" s="9">
        <v>16</v>
      </c>
      <c r="D873" s="9" t="str">
        <f t="shared" ca="1" si="16"/>
        <v>16 বছর 1 মাস 22 দিন</v>
      </c>
      <c r="E873" s="11" t="s">
        <v>3051</v>
      </c>
      <c r="F873" s="14">
        <v>31770</v>
      </c>
      <c r="G873" s="17">
        <v>46078</v>
      </c>
      <c r="H873" s="11" t="s">
        <v>3052</v>
      </c>
      <c r="I873" s="11"/>
      <c r="J873" s="11" t="s">
        <v>3053</v>
      </c>
      <c r="K873" s="11" t="s">
        <v>50</v>
      </c>
      <c r="L873" s="23">
        <v>46096</v>
      </c>
      <c r="M873" s="11"/>
      <c r="N873" s="9" t="s">
        <v>929</v>
      </c>
      <c r="O873" s="11" t="s">
        <v>2132</v>
      </c>
      <c r="P873" s="11" t="s">
        <v>402</v>
      </c>
      <c r="Q873" s="11"/>
    </row>
    <row r="874" spans="1:17" ht="82.5" x14ac:dyDescent="0.25">
      <c r="A874" s="13">
        <v>863</v>
      </c>
      <c r="B874" s="16" t="s">
        <v>3054</v>
      </c>
      <c r="C874" s="9">
        <v>16</v>
      </c>
      <c r="D874" s="9" t="str">
        <f t="shared" ca="1" si="16"/>
        <v>16 বছর 1 মাস 22 দিন</v>
      </c>
      <c r="E874" s="11" t="s">
        <v>3055</v>
      </c>
      <c r="F874" s="14">
        <v>31771</v>
      </c>
      <c r="G874" s="17">
        <v>46078</v>
      </c>
      <c r="H874" s="11" t="s">
        <v>3056</v>
      </c>
      <c r="I874" s="11"/>
      <c r="J874" s="11" t="s">
        <v>1711</v>
      </c>
      <c r="K874" s="11" t="s">
        <v>50</v>
      </c>
      <c r="L874" s="23">
        <v>46120</v>
      </c>
      <c r="M874" s="11"/>
      <c r="N874" s="9" t="s">
        <v>929</v>
      </c>
      <c r="O874" s="11" t="s">
        <v>2132</v>
      </c>
      <c r="P874" s="11" t="s">
        <v>402</v>
      </c>
      <c r="Q874" s="11"/>
    </row>
    <row r="875" spans="1:17" ht="82.5" x14ac:dyDescent="0.25">
      <c r="A875" s="13">
        <v>864</v>
      </c>
      <c r="B875" s="16" t="s">
        <v>3057</v>
      </c>
      <c r="C875" s="9"/>
      <c r="D875" s="9" t="str">
        <f t="shared" ca="1" si="16"/>
        <v>0 বছর 1 মাস 22 দিন</v>
      </c>
      <c r="E875" s="11" t="s">
        <v>3058</v>
      </c>
      <c r="F875" s="14">
        <v>31772</v>
      </c>
      <c r="G875" s="17">
        <v>46078</v>
      </c>
      <c r="H875" s="11" t="s">
        <v>3059</v>
      </c>
      <c r="I875" s="11"/>
      <c r="J875" s="11" t="s">
        <v>2542</v>
      </c>
      <c r="K875" s="11" t="s">
        <v>50</v>
      </c>
      <c r="L875" s="23"/>
      <c r="M875" s="11"/>
      <c r="N875" s="9" t="s">
        <v>929</v>
      </c>
      <c r="O875" s="11" t="s">
        <v>2132</v>
      </c>
      <c r="P875" s="11" t="s">
        <v>402</v>
      </c>
      <c r="Q875" s="11" t="s">
        <v>3060</v>
      </c>
    </row>
    <row r="876" spans="1:17" ht="82.5" x14ac:dyDescent="0.25">
      <c r="A876" s="13">
        <v>865</v>
      </c>
      <c r="B876" s="16" t="s">
        <v>3061</v>
      </c>
      <c r="C876" s="9">
        <v>12</v>
      </c>
      <c r="D876" s="9" t="str">
        <f t="shared" ca="1" si="16"/>
        <v>12 বছর 1 মাস 22 দিন</v>
      </c>
      <c r="E876" s="11" t="s">
        <v>3062</v>
      </c>
      <c r="F876" s="14">
        <v>31773</v>
      </c>
      <c r="G876" s="17">
        <v>46078</v>
      </c>
      <c r="H876" s="11" t="s">
        <v>3063</v>
      </c>
      <c r="I876" s="11" t="s">
        <v>265</v>
      </c>
      <c r="J876" s="11" t="s">
        <v>2542</v>
      </c>
      <c r="K876" s="11" t="s">
        <v>50</v>
      </c>
      <c r="L876" s="23">
        <v>46121</v>
      </c>
      <c r="M876" s="11"/>
      <c r="N876" s="9" t="s">
        <v>929</v>
      </c>
      <c r="O876" s="11" t="s">
        <v>2132</v>
      </c>
      <c r="P876" s="11" t="s">
        <v>402</v>
      </c>
      <c r="Q876" s="11"/>
    </row>
    <row r="877" spans="1:17" ht="115.5" x14ac:dyDescent="0.25">
      <c r="A877" s="13">
        <v>866</v>
      </c>
      <c r="B877" s="16" t="s">
        <v>3064</v>
      </c>
      <c r="C877" s="9">
        <v>16</v>
      </c>
      <c r="D877" s="9" t="str">
        <f t="shared" ca="1" si="16"/>
        <v>16 বছর 1 মাস 22 দিন</v>
      </c>
      <c r="E877" s="11" t="s">
        <v>3065</v>
      </c>
      <c r="F877" s="14">
        <v>31774</v>
      </c>
      <c r="G877" s="17">
        <v>46078</v>
      </c>
      <c r="H877" s="11" t="s">
        <v>3066</v>
      </c>
      <c r="I877" s="11" t="s">
        <v>552</v>
      </c>
      <c r="J877" s="11" t="s">
        <v>1888</v>
      </c>
      <c r="K877" s="11" t="s">
        <v>50</v>
      </c>
      <c r="L877" s="23">
        <v>46082</v>
      </c>
      <c r="M877" s="11"/>
      <c r="N877" s="9" t="s">
        <v>929</v>
      </c>
      <c r="O877" s="11" t="s">
        <v>2132</v>
      </c>
      <c r="P877" s="11" t="s">
        <v>402</v>
      </c>
      <c r="Q877" s="11"/>
    </row>
    <row r="878" spans="1:17" ht="82.5" x14ac:dyDescent="0.25">
      <c r="A878" s="13">
        <v>867</v>
      </c>
      <c r="B878" s="16" t="s">
        <v>3067</v>
      </c>
      <c r="C878" s="9">
        <v>16</v>
      </c>
      <c r="D878" s="9" t="str">
        <f t="shared" ca="1" si="16"/>
        <v>16 বছর 1 মাস 22 দিন</v>
      </c>
      <c r="E878" s="11" t="s">
        <v>3068</v>
      </c>
      <c r="F878" s="14">
        <v>31775</v>
      </c>
      <c r="G878" s="17">
        <v>46078</v>
      </c>
      <c r="H878" s="11" t="s">
        <v>3069</v>
      </c>
      <c r="I878" s="11" t="s">
        <v>196</v>
      </c>
      <c r="J878" s="11" t="s">
        <v>1888</v>
      </c>
      <c r="K878" s="11" t="s">
        <v>50</v>
      </c>
      <c r="L878" s="23">
        <v>46111</v>
      </c>
      <c r="M878" s="11"/>
      <c r="N878" s="9" t="s">
        <v>929</v>
      </c>
      <c r="O878" s="11" t="s">
        <v>2132</v>
      </c>
      <c r="P878" s="11" t="s">
        <v>402</v>
      </c>
      <c r="Q878" s="11"/>
    </row>
    <row r="879" spans="1:17" ht="82.5" x14ac:dyDescent="0.25">
      <c r="A879" s="13">
        <v>868</v>
      </c>
      <c r="B879" s="16" t="s">
        <v>3070</v>
      </c>
      <c r="C879" s="9">
        <v>17</v>
      </c>
      <c r="D879" s="9" t="str">
        <f t="shared" ca="1" si="16"/>
        <v>17 বছর 1 মাস 22 দিন</v>
      </c>
      <c r="E879" s="11" t="s">
        <v>3071</v>
      </c>
      <c r="F879" s="14">
        <v>31776</v>
      </c>
      <c r="G879" s="17">
        <v>46078</v>
      </c>
      <c r="H879" s="11" t="s">
        <v>3072</v>
      </c>
      <c r="I879" s="11" t="s">
        <v>196</v>
      </c>
      <c r="J879" s="11" t="s">
        <v>1888</v>
      </c>
      <c r="K879" s="11" t="s">
        <v>50</v>
      </c>
      <c r="L879" s="23">
        <v>46092</v>
      </c>
      <c r="M879" s="11"/>
      <c r="N879" s="9" t="s">
        <v>929</v>
      </c>
      <c r="O879" s="11" t="s">
        <v>2132</v>
      </c>
      <c r="P879" s="11" t="s">
        <v>402</v>
      </c>
      <c r="Q879" s="11"/>
    </row>
    <row r="880" spans="1:17" ht="82.5" x14ac:dyDescent="0.25">
      <c r="A880" s="13">
        <v>869</v>
      </c>
      <c r="B880" s="16" t="s">
        <v>3073</v>
      </c>
      <c r="C880" s="9">
        <v>17</v>
      </c>
      <c r="D880" s="9" t="str">
        <f t="shared" ca="1" si="16"/>
        <v>17 বছর 1 মাস 21 দিন</v>
      </c>
      <c r="E880" s="11" t="s">
        <v>3074</v>
      </c>
      <c r="F880" s="14">
        <v>31777</v>
      </c>
      <c r="G880" s="17">
        <v>46079</v>
      </c>
      <c r="H880" s="11" t="s">
        <v>3075</v>
      </c>
      <c r="I880" s="11" t="s">
        <v>196</v>
      </c>
      <c r="J880" s="11" t="s">
        <v>1888</v>
      </c>
      <c r="K880" s="11" t="s">
        <v>50</v>
      </c>
      <c r="L880" s="23">
        <v>46124</v>
      </c>
      <c r="M880" s="11"/>
      <c r="N880" s="9" t="s">
        <v>929</v>
      </c>
      <c r="O880" s="11" t="s">
        <v>2132</v>
      </c>
      <c r="P880" s="11" t="s">
        <v>402</v>
      </c>
      <c r="Q880" s="11"/>
    </row>
    <row r="881" spans="1:17" ht="82.5" x14ac:dyDescent="0.25">
      <c r="A881" s="13">
        <v>870</v>
      </c>
      <c r="B881" s="16" t="s">
        <v>3076</v>
      </c>
      <c r="C881" s="9">
        <v>17</v>
      </c>
      <c r="D881" s="9" t="str">
        <f t="shared" ca="1" si="16"/>
        <v>17 বছর 1 মাস 21 দিন</v>
      </c>
      <c r="E881" s="11" t="s">
        <v>3077</v>
      </c>
      <c r="F881" s="14">
        <v>31778</v>
      </c>
      <c r="G881" s="17">
        <v>46079</v>
      </c>
      <c r="H881" s="11" t="s">
        <v>3078</v>
      </c>
      <c r="I881" s="11" t="s">
        <v>432</v>
      </c>
      <c r="J881" s="11" t="s">
        <v>1179</v>
      </c>
      <c r="K881" s="11" t="s">
        <v>50</v>
      </c>
      <c r="L881" s="23">
        <v>46140</v>
      </c>
      <c r="M881" s="11"/>
      <c r="N881" s="9" t="s">
        <v>929</v>
      </c>
      <c r="O881" s="11" t="s">
        <v>2132</v>
      </c>
      <c r="P881" s="11" t="s">
        <v>402</v>
      </c>
      <c r="Q881" s="11"/>
    </row>
    <row r="882" spans="1:17" ht="82.5" x14ac:dyDescent="0.25">
      <c r="A882" s="13">
        <v>871</v>
      </c>
      <c r="B882" s="16" t="s">
        <v>3079</v>
      </c>
      <c r="C882" s="9">
        <v>15</v>
      </c>
      <c r="D882" s="9" t="str">
        <f t="shared" ca="1" si="16"/>
        <v>15 বছর 1 মাস 21 দিন</v>
      </c>
      <c r="E882" s="11" t="s">
        <v>3080</v>
      </c>
      <c r="F882" s="14">
        <v>31779</v>
      </c>
      <c r="G882" s="17">
        <v>46079</v>
      </c>
      <c r="H882" s="11" t="s">
        <v>3081</v>
      </c>
      <c r="I882" s="11" t="s">
        <v>265</v>
      </c>
      <c r="J882" s="11" t="s">
        <v>1977</v>
      </c>
      <c r="K882" s="11" t="s">
        <v>50</v>
      </c>
      <c r="L882" s="23">
        <v>46112</v>
      </c>
      <c r="M882" s="11"/>
      <c r="N882" s="9" t="s">
        <v>929</v>
      </c>
      <c r="O882" s="11" t="s">
        <v>2132</v>
      </c>
      <c r="P882" s="11" t="s">
        <v>402</v>
      </c>
      <c r="Q882" s="11"/>
    </row>
    <row r="883" spans="1:17" ht="82.5" x14ac:dyDescent="0.25">
      <c r="A883" s="13">
        <v>872</v>
      </c>
      <c r="B883" s="16" t="s">
        <v>3082</v>
      </c>
      <c r="C883" s="9">
        <v>16</v>
      </c>
      <c r="D883" s="9" t="str">
        <f t="shared" ca="1" si="16"/>
        <v>16 বছর 1 মাস 20 দিন</v>
      </c>
      <c r="E883" s="11" t="s">
        <v>3083</v>
      </c>
      <c r="F883" s="14">
        <v>31780</v>
      </c>
      <c r="G883" s="17">
        <v>46080</v>
      </c>
      <c r="H883" s="11" t="s">
        <v>3084</v>
      </c>
      <c r="I883" s="11" t="s">
        <v>265</v>
      </c>
      <c r="J883" s="11" t="s">
        <v>1002</v>
      </c>
      <c r="K883" s="11" t="s">
        <v>50</v>
      </c>
      <c r="L883" s="23">
        <v>46133</v>
      </c>
      <c r="M883" s="11"/>
      <c r="N883" s="9" t="s">
        <v>929</v>
      </c>
      <c r="O883" s="11" t="s">
        <v>2132</v>
      </c>
      <c r="P883" s="11" t="s">
        <v>402</v>
      </c>
      <c r="Q883" s="11"/>
    </row>
    <row r="884" spans="1:17" ht="82.5" x14ac:dyDescent="0.25">
      <c r="A884" s="13">
        <v>873</v>
      </c>
      <c r="B884" s="16" t="s">
        <v>3085</v>
      </c>
      <c r="C884" s="9"/>
      <c r="D884" s="9" t="str">
        <f t="shared" ca="1" si="16"/>
        <v>0 বছর 1 মাস 20 দিন</v>
      </c>
      <c r="E884" s="11" t="s">
        <v>3086</v>
      </c>
      <c r="F884" s="14">
        <v>31781</v>
      </c>
      <c r="G884" s="17">
        <v>46080</v>
      </c>
      <c r="H884" s="11" t="s">
        <v>2287</v>
      </c>
      <c r="I884" s="11" t="s">
        <v>27</v>
      </c>
      <c r="J884" s="11" t="s">
        <v>943</v>
      </c>
      <c r="K884" s="11" t="s">
        <v>50</v>
      </c>
      <c r="L884" s="23"/>
      <c r="M884" s="11"/>
      <c r="N884" s="9" t="s">
        <v>929</v>
      </c>
      <c r="O884" s="11" t="s">
        <v>2132</v>
      </c>
      <c r="P884" s="11" t="s">
        <v>402</v>
      </c>
      <c r="Q884" s="11"/>
    </row>
    <row r="885" spans="1:17" ht="82.5" x14ac:dyDescent="0.25">
      <c r="A885" s="13">
        <v>874</v>
      </c>
      <c r="B885" s="16" t="s">
        <v>3087</v>
      </c>
      <c r="C885" s="9">
        <v>16</v>
      </c>
      <c r="D885" s="9" t="str">
        <f t="shared" ca="1" si="16"/>
        <v>16 বছর 1 মাস 20 দিন</v>
      </c>
      <c r="E885" s="11" t="s">
        <v>3088</v>
      </c>
      <c r="F885" s="14">
        <v>31782</v>
      </c>
      <c r="G885" s="17">
        <v>46080</v>
      </c>
      <c r="H885" s="11" t="s">
        <v>3089</v>
      </c>
      <c r="I885" s="11" t="s">
        <v>588</v>
      </c>
      <c r="J885" s="11" t="s">
        <v>943</v>
      </c>
      <c r="K885" s="11" t="s">
        <v>50</v>
      </c>
      <c r="L885" s="23">
        <v>46091</v>
      </c>
      <c r="M885" s="11"/>
      <c r="N885" s="9" t="s">
        <v>929</v>
      </c>
      <c r="O885" s="11" t="s">
        <v>2132</v>
      </c>
      <c r="P885" s="11" t="s">
        <v>402</v>
      </c>
      <c r="Q885" s="11"/>
    </row>
    <row r="886" spans="1:17" ht="82.5" x14ac:dyDescent="0.25">
      <c r="A886" s="13">
        <v>875</v>
      </c>
      <c r="B886" s="16" t="s">
        <v>3090</v>
      </c>
      <c r="C886" s="9">
        <v>17</v>
      </c>
      <c r="D886" s="9" t="str">
        <f t="shared" ca="1" si="16"/>
        <v>17 বছর 1 মাস 20 দিন</v>
      </c>
      <c r="E886" s="11" t="s">
        <v>3091</v>
      </c>
      <c r="F886" s="14">
        <v>31783</v>
      </c>
      <c r="G886" s="17">
        <v>46080</v>
      </c>
      <c r="H886" s="11" t="s">
        <v>3092</v>
      </c>
      <c r="I886" s="11"/>
      <c r="J886" s="11" t="s">
        <v>872</v>
      </c>
      <c r="K886" s="11" t="s">
        <v>50</v>
      </c>
      <c r="L886" s="23">
        <v>46167</v>
      </c>
      <c r="M886" s="11"/>
      <c r="N886" s="9" t="s">
        <v>929</v>
      </c>
      <c r="O886" s="11" t="s">
        <v>2132</v>
      </c>
      <c r="P886" s="11" t="s">
        <v>402</v>
      </c>
      <c r="Q886" s="11"/>
    </row>
    <row r="887" spans="1:17" ht="82.5" x14ac:dyDescent="0.25">
      <c r="A887" s="13">
        <v>876</v>
      </c>
      <c r="B887" s="16" t="s">
        <v>3093</v>
      </c>
      <c r="C887" s="9">
        <v>16</v>
      </c>
      <c r="D887" s="9" t="str">
        <f t="shared" ca="1" si="16"/>
        <v>16 বছর 1 মাস 20 দিন</v>
      </c>
      <c r="E887" s="11" t="s">
        <v>3094</v>
      </c>
      <c r="F887" s="14">
        <v>31784</v>
      </c>
      <c r="G887" s="17">
        <v>46080</v>
      </c>
      <c r="H887" s="11" t="s">
        <v>3095</v>
      </c>
      <c r="I887" s="11"/>
      <c r="J887" s="11" t="s">
        <v>872</v>
      </c>
      <c r="K887" s="11" t="s">
        <v>50</v>
      </c>
      <c r="L887" s="23"/>
      <c r="M887" s="11"/>
      <c r="N887" s="9" t="s">
        <v>929</v>
      </c>
      <c r="O887" s="11" t="s">
        <v>2132</v>
      </c>
      <c r="P887" s="11" t="s">
        <v>402</v>
      </c>
      <c r="Q887" s="11"/>
    </row>
    <row r="888" spans="1:17" ht="82.5" x14ac:dyDescent="0.25">
      <c r="A888" s="13">
        <v>877</v>
      </c>
      <c r="B888" s="16" t="s">
        <v>3096</v>
      </c>
      <c r="C888" s="9">
        <v>13</v>
      </c>
      <c r="D888" s="9" t="str">
        <f t="shared" ca="1" si="16"/>
        <v>13 বছর 1 মাস 20 দিন</v>
      </c>
      <c r="E888" s="11" t="s">
        <v>3097</v>
      </c>
      <c r="F888" s="14">
        <v>31785</v>
      </c>
      <c r="G888" s="17">
        <v>46080</v>
      </c>
      <c r="H888" s="11" t="s">
        <v>3098</v>
      </c>
      <c r="I888" s="11" t="s">
        <v>48</v>
      </c>
      <c r="J888" s="11" t="s">
        <v>872</v>
      </c>
      <c r="K888" s="11" t="s">
        <v>50</v>
      </c>
      <c r="L888" s="23"/>
      <c r="M888" s="11"/>
      <c r="N888" s="9" t="s">
        <v>929</v>
      </c>
      <c r="O888" s="11" t="s">
        <v>2132</v>
      </c>
      <c r="P888" s="11" t="s">
        <v>402</v>
      </c>
      <c r="Q888" s="11"/>
    </row>
    <row r="889" spans="1:17" ht="82.5" x14ac:dyDescent="0.25">
      <c r="A889" s="13">
        <v>878</v>
      </c>
      <c r="B889" s="16" t="s">
        <v>3099</v>
      </c>
      <c r="C889" s="9">
        <v>15</v>
      </c>
      <c r="D889" s="9" t="str">
        <f t="shared" ca="1" si="16"/>
        <v>15 বছর 1 মাস 20 দিন</v>
      </c>
      <c r="E889" s="11" t="s">
        <v>3100</v>
      </c>
      <c r="F889" s="14">
        <v>31786</v>
      </c>
      <c r="G889" s="17">
        <v>46080</v>
      </c>
      <c r="H889" s="11" t="s">
        <v>3101</v>
      </c>
      <c r="I889" s="11" t="s">
        <v>432</v>
      </c>
      <c r="J889" s="11" t="s">
        <v>1888</v>
      </c>
      <c r="K889" s="11" t="s">
        <v>50</v>
      </c>
      <c r="L889" s="23">
        <v>46091</v>
      </c>
      <c r="M889" s="11"/>
      <c r="N889" s="9" t="s">
        <v>929</v>
      </c>
      <c r="O889" s="11" t="s">
        <v>2132</v>
      </c>
      <c r="P889" s="11" t="s">
        <v>402</v>
      </c>
      <c r="Q889" s="11"/>
    </row>
    <row r="890" spans="1:17" ht="82.5" x14ac:dyDescent="0.25">
      <c r="A890" s="13">
        <v>879</v>
      </c>
      <c r="B890" s="16" t="s">
        <v>3102</v>
      </c>
      <c r="C890" s="9">
        <v>17</v>
      </c>
      <c r="D890" s="9" t="str">
        <f t="shared" ca="1" si="16"/>
        <v>17 বছর 1 মাস 20 দিন</v>
      </c>
      <c r="E890" s="11" t="s">
        <v>3103</v>
      </c>
      <c r="F890" s="14">
        <v>31787</v>
      </c>
      <c r="G890" s="17">
        <v>46080</v>
      </c>
      <c r="H890" s="11" t="s">
        <v>3104</v>
      </c>
      <c r="I890" s="11" t="s">
        <v>196</v>
      </c>
      <c r="J890" s="11" t="s">
        <v>1905</v>
      </c>
      <c r="K890" s="11" t="s">
        <v>50</v>
      </c>
      <c r="L890" s="23">
        <v>46127</v>
      </c>
      <c r="M890" s="11"/>
      <c r="N890" s="9" t="s">
        <v>929</v>
      </c>
      <c r="O890" s="11" t="s">
        <v>2132</v>
      </c>
      <c r="P890" s="11" t="s">
        <v>402</v>
      </c>
      <c r="Q890" s="11"/>
    </row>
    <row r="891" spans="1:17" ht="82.5" x14ac:dyDescent="0.25">
      <c r="A891" s="13">
        <v>880</v>
      </c>
      <c r="B891" s="16" t="s">
        <v>3105</v>
      </c>
      <c r="C891" s="9">
        <v>16</v>
      </c>
      <c r="D891" s="9" t="str">
        <f t="shared" ca="1" si="16"/>
        <v>16 বছর 1 মাস 20 দিন</v>
      </c>
      <c r="E891" s="11" t="s">
        <v>3106</v>
      </c>
      <c r="F891" s="14">
        <v>31788</v>
      </c>
      <c r="G891" s="17">
        <v>46080</v>
      </c>
      <c r="H891" s="11" t="s">
        <v>3107</v>
      </c>
      <c r="I891" s="11" t="s">
        <v>265</v>
      </c>
      <c r="J891" s="11" t="s">
        <v>1179</v>
      </c>
      <c r="K891" s="11" t="s">
        <v>50</v>
      </c>
      <c r="L891" s="23">
        <v>46119</v>
      </c>
      <c r="M891" s="11"/>
      <c r="N891" s="9" t="s">
        <v>929</v>
      </c>
      <c r="O891" s="11" t="s">
        <v>2132</v>
      </c>
      <c r="P891" s="11" t="s">
        <v>402</v>
      </c>
      <c r="Q891" s="11"/>
    </row>
    <row r="892" spans="1:17" ht="82.5" x14ac:dyDescent="0.25">
      <c r="A892" s="13">
        <v>881</v>
      </c>
      <c r="B892" s="16" t="s">
        <v>3108</v>
      </c>
      <c r="C892" s="9">
        <v>16</v>
      </c>
      <c r="D892" s="9" t="str">
        <f t="shared" ref="D892:D917" ca="1" si="17">C892+DATEDIF(G892,TODAY(),"y")&amp;" "&amp;"বছর"&amp;" "&amp;DATEDIF(G892,TODAY(),"ym")&amp;" "&amp;"মাস"&amp;" "&amp;DATEDIF(G892,TODAY(),"md")&amp;" "&amp;"দিন"</f>
        <v>16 বছর 1 মাস 20 দিন</v>
      </c>
      <c r="E892" s="11" t="s">
        <v>3109</v>
      </c>
      <c r="F892" s="14">
        <v>31789</v>
      </c>
      <c r="G892" s="17">
        <v>46080</v>
      </c>
      <c r="H892" s="11" t="s">
        <v>3110</v>
      </c>
      <c r="I892" s="11" t="s">
        <v>265</v>
      </c>
      <c r="J892" s="11" t="s">
        <v>2725</v>
      </c>
      <c r="K892" s="11" t="s">
        <v>50</v>
      </c>
      <c r="L892" s="23">
        <v>46147</v>
      </c>
      <c r="M892" s="11"/>
      <c r="N892" s="9" t="s">
        <v>929</v>
      </c>
      <c r="O892" s="11" t="s">
        <v>2132</v>
      </c>
      <c r="P892" s="11" t="s">
        <v>402</v>
      </c>
      <c r="Q892" s="11"/>
    </row>
    <row r="893" spans="1:17" ht="82.5" x14ac:dyDescent="0.25">
      <c r="A893" s="13">
        <v>882</v>
      </c>
      <c r="B893" s="16" t="s">
        <v>3111</v>
      </c>
      <c r="C893" s="9">
        <v>17</v>
      </c>
      <c r="D893" s="9" t="str">
        <f t="shared" ca="1" si="17"/>
        <v>17 বছর 1 মাস 20 দিন</v>
      </c>
      <c r="E893" s="11" t="s">
        <v>3112</v>
      </c>
      <c r="F893" s="14">
        <v>31790</v>
      </c>
      <c r="G893" s="17">
        <v>46080</v>
      </c>
      <c r="H893" s="11" t="s">
        <v>3113</v>
      </c>
      <c r="I893" s="11" t="s">
        <v>38</v>
      </c>
      <c r="J893" s="11" t="s">
        <v>2725</v>
      </c>
      <c r="K893" s="11" t="s">
        <v>50</v>
      </c>
      <c r="L893" s="23">
        <v>46147</v>
      </c>
      <c r="M893" s="11"/>
      <c r="N893" s="9" t="s">
        <v>929</v>
      </c>
      <c r="O893" s="11" t="s">
        <v>2132</v>
      </c>
      <c r="P893" s="11" t="s">
        <v>402</v>
      </c>
      <c r="Q893" s="11"/>
    </row>
    <row r="894" spans="1:17" ht="82.5" x14ac:dyDescent="0.25">
      <c r="A894" s="13">
        <v>883</v>
      </c>
      <c r="B894" s="16" t="s">
        <v>3114</v>
      </c>
      <c r="C894" s="9">
        <v>17</v>
      </c>
      <c r="D894" s="9" t="str">
        <f t="shared" ca="1" si="17"/>
        <v>17 বছর 1 মাস 20 দিন</v>
      </c>
      <c r="E894" s="11" t="s">
        <v>3109</v>
      </c>
      <c r="F894" s="14">
        <v>31791</v>
      </c>
      <c r="G894" s="17">
        <v>46080</v>
      </c>
      <c r="H894" s="11" t="s">
        <v>3110</v>
      </c>
      <c r="I894" s="11" t="s">
        <v>265</v>
      </c>
      <c r="J894" s="11" t="s">
        <v>2725</v>
      </c>
      <c r="K894" s="11" t="s">
        <v>50</v>
      </c>
      <c r="L894" s="23">
        <v>46147</v>
      </c>
      <c r="M894" s="11"/>
      <c r="N894" s="9" t="s">
        <v>929</v>
      </c>
      <c r="O894" s="11" t="s">
        <v>2132</v>
      </c>
      <c r="P894" s="11" t="s">
        <v>402</v>
      </c>
      <c r="Q894" s="11"/>
    </row>
    <row r="895" spans="1:17" ht="82.5" x14ac:dyDescent="0.25">
      <c r="A895" s="13">
        <v>884</v>
      </c>
      <c r="B895" s="16" t="s">
        <v>3115</v>
      </c>
      <c r="C895" s="9">
        <v>17</v>
      </c>
      <c r="D895" s="9" t="str">
        <f t="shared" ca="1" si="17"/>
        <v>17 বছর 1 মাস 20 দিন</v>
      </c>
      <c r="E895" s="11" t="s">
        <v>3116</v>
      </c>
      <c r="F895" s="14">
        <v>31792</v>
      </c>
      <c r="G895" s="17">
        <v>46080</v>
      </c>
      <c r="H895" s="11" t="s">
        <v>3113</v>
      </c>
      <c r="I895" s="11" t="s">
        <v>38</v>
      </c>
      <c r="J895" s="11" t="s">
        <v>2725</v>
      </c>
      <c r="K895" s="11" t="s">
        <v>50</v>
      </c>
      <c r="L895" s="23">
        <v>46147</v>
      </c>
      <c r="M895" s="11"/>
      <c r="N895" s="9" t="s">
        <v>929</v>
      </c>
      <c r="O895" s="11" t="s">
        <v>2132</v>
      </c>
      <c r="P895" s="11" t="s">
        <v>402</v>
      </c>
      <c r="Q895" s="11"/>
    </row>
    <row r="896" spans="1:17" ht="82.5" x14ac:dyDescent="0.25">
      <c r="A896" s="13">
        <v>885</v>
      </c>
      <c r="B896" s="16" t="s">
        <v>3117</v>
      </c>
      <c r="C896" s="9">
        <v>17</v>
      </c>
      <c r="D896" s="9" t="str">
        <f t="shared" ca="1" si="17"/>
        <v>17 বছর 1 মাস 20 দিন</v>
      </c>
      <c r="E896" s="11" t="s">
        <v>3118</v>
      </c>
      <c r="F896" s="14">
        <v>31793</v>
      </c>
      <c r="G896" s="17">
        <v>46080</v>
      </c>
      <c r="H896" s="11" t="s">
        <v>3119</v>
      </c>
      <c r="I896" s="11" t="s">
        <v>1997</v>
      </c>
      <c r="J896" s="11" t="s">
        <v>1943</v>
      </c>
      <c r="K896" s="11" t="s">
        <v>50</v>
      </c>
      <c r="L896" s="23"/>
      <c r="M896" s="11"/>
      <c r="N896" s="9" t="s">
        <v>929</v>
      </c>
      <c r="O896" s="11" t="s">
        <v>2132</v>
      </c>
      <c r="P896" s="11" t="s">
        <v>402</v>
      </c>
      <c r="Q896" s="11"/>
    </row>
    <row r="897" spans="1:17" ht="82.5" x14ac:dyDescent="0.25">
      <c r="A897" s="13">
        <v>886</v>
      </c>
      <c r="B897" s="16" t="s">
        <v>3120</v>
      </c>
      <c r="C897" s="9">
        <v>16</v>
      </c>
      <c r="D897" s="9" t="str">
        <f t="shared" ca="1" si="17"/>
        <v>16 বছর 1 মাস 20 দিন</v>
      </c>
      <c r="E897" s="11" t="s">
        <v>3121</v>
      </c>
      <c r="F897" s="14">
        <v>31794</v>
      </c>
      <c r="G897" s="17">
        <v>46080</v>
      </c>
      <c r="H897" s="11" t="s">
        <v>3122</v>
      </c>
      <c r="I897" s="11"/>
      <c r="J897" s="11" t="s">
        <v>1943</v>
      </c>
      <c r="K897" s="11" t="s">
        <v>50</v>
      </c>
      <c r="L897" s="23">
        <v>46120</v>
      </c>
      <c r="M897" s="11"/>
      <c r="N897" s="9" t="s">
        <v>929</v>
      </c>
      <c r="O897" s="11" t="s">
        <v>2132</v>
      </c>
      <c r="P897" s="11" t="s">
        <v>402</v>
      </c>
      <c r="Q897" s="11"/>
    </row>
    <row r="898" spans="1:17" ht="82.5" x14ac:dyDescent="0.25">
      <c r="A898" s="13">
        <v>887</v>
      </c>
      <c r="B898" s="16" t="s">
        <v>3123</v>
      </c>
      <c r="C898" s="9">
        <v>19</v>
      </c>
      <c r="D898" s="9" t="str">
        <f t="shared" ca="1" si="17"/>
        <v>19 বছর 1 মাস 20 দিন</v>
      </c>
      <c r="E898" s="11" t="s">
        <v>3124</v>
      </c>
      <c r="F898" s="14">
        <v>31795</v>
      </c>
      <c r="G898" s="17">
        <v>46080</v>
      </c>
      <c r="H898" s="11" t="s">
        <v>3125</v>
      </c>
      <c r="I898" s="11" t="s">
        <v>843</v>
      </c>
      <c r="J898" s="11" t="s">
        <v>2725</v>
      </c>
      <c r="K898" s="11" t="s">
        <v>50</v>
      </c>
      <c r="L898" s="23">
        <v>46133</v>
      </c>
      <c r="M898" s="11"/>
      <c r="N898" s="9" t="s">
        <v>929</v>
      </c>
      <c r="O898" s="11" t="s">
        <v>2132</v>
      </c>
      <c r="P898" s="11" t="s">
        <v>402</v>
      </c>
      <c r="Q898" s="11"/>
    </row>
    <row r="899" spans="1:17" ht="82.5" x14ac:dyDescent="0.25">
      <c r="A899" s="13">
        <v>888</v>
      </c>
      <c r="B899" s="16" t="s">
        <v>3126</v>
      </c>
      <c r="C899" s="9"/>
      <c r="D899" s="9" t="str">
        <f t="shared" ca="1" si="17"/>
        <v>0 বছর 1 মাস 19 দিন</v>
      </c>
      <c r="E899" s="11" t="s">
        <v>3127</v>
      </c>
      <c r="F899" s="14">
        <v>31796</v>
      </c>
      <c r="G899" s="17">
        <v>46081</v>
      </c>
      <c r="H899" s="11" t="s">
        <v>3128</v>
      </c>
      <c r="I899" s="11" t="s">
        <v>843</v>
      </c>
      <c r="J899" s="11" t="s">
        <v>1119</v>
      </c>
      <c r="K899" s="11" t="s">
        <v>50</v>
      </c>
      <c r="L899" s="23">
        <v>46117</v>
      </c>
      <c r="M899" s="11"/>
      <c r="N899" s="9" t="s">
        <v>929</v>
      </c>
      <c r="O899" s="11" t="s">
        <v>2132</v>
      </c>
      <c r="P899" s="11" t="s">
        <v>402</v>
      </c>
      <c r="Q899" s="11"/>
    </row>
    <row r="900" spans="1:17" ht="82.5" x14ac:dyDescent="0.25">
      <c r="A900" s="13">
        <v>889</v>
      </c>
      <c r="B900" s="16" t="s">
        <v>3129</v>
      </c>
      <c r="C900" s="9"/>
      <c r="D900" s="9" t="str">
        <f t="shared" ca="1" si="17"/>
        <v>0 বছর 1 মাস 19 দিন</v>
      </c>
      <c r="E900" s="11" t="s">
        <v>3130</v>
      </c>
      <c r="F900" s="14">
        <v>31797</v>
      </c>
      <c r="G900" s="17">
        <v>46081</v>
      </c>
      <c r="H900" s="11" t="s">
        <v>3128</v>
      </c>
      <c r="I900" s="11" t="s">
        <v>843</v>
      </c>
      <c r="J900" s="11" t="s">
        <v>1119</v>
      </c>
      <c r="K900" s="11" t="s">
        <v>50</v>
      </c>
      <c r="L900" s="23">
        <v>46117</v>
      </c>
      <c r="M900" s="11"/>
      <c r="N900" s="9" t="s">
        <v>929</v>
      </c>
      <c r="O900" s="11" t="s">
        <v>2132</v>
      </c>
      <c r="P900" s="11" t="s">
        <v>402</v>
      </c>
      <c r="Q900" s="11"/>
    </row>
    <row r="901" spans="1:17" ht="82.5" x14ac:dyDescent="0.25">
      <c r="A901" s="13">
        <v>890</v>
      </c>
      <c r="B901" s="16" t="s">
        <v>3131</v>
      </c>
      <c r="C901" s="9">
        <v>14</v>
      </c>
      <c r="D901" s="9" t="str">
        <f t="shared" ca="1" si="17"/>
        <v>14 বছর 1 মাস 19 দিন</v>
      </c>
      <c r="E901" s="11" t="s">
        <v>3132</v>
      </c>
      <c r="F901" s="14">
        <v>31798</v>
      </c>
      <c r="G901" s="17">
        <v>46081</v>
      </c>
      <c r="H901" s="11" t="s">
        <v>3133</v>
      </c>
      <c r="I901" s="11" t="s">
        <v>265</v>
      </c>
      <c r="J901" s="11" t="s">
        <v>3134</v>
      </c>
      <c r="K901" s="11" t="s">
        <v>50</v>
      </c>
      <c r="L901" s="23">
        <v>46119</v>
      </c>
      <c r="M901" s="11"/>
      <c r="N901" s="9" t="s">
        <v>929</v>
      </c>
      <c r="O901" s="11" t="s">
        <v>2132</v>
      </c>
      <c r="P901" s="11" t="s">
        <v>402</v>
      </c>
      <c r="Q901" s="11"/>
    </row>
    <row r="902" spans="1:17" ht="82.5" x14ac:dyDescent="0.25">
      <c r="A902" s="13">
        <v>891</v>
      </c>
      <c r="B902" s="16" t="s">
        <v>3135</v>
      </c>
      <c r="C902" s="9">
        <v>17</v>
      </c>
      <c r="D902" s="9" t="str">
        <f t="shared" ca="1" si="17"/>
        <v>17 বছর 1 মাস 19 দিন</v>
      </c>
      <c r="E902" s="11" t="s">
        <v>3136</v>
      </c>
      <c r="F902" s="14">
        <v>31799</v>
      </c>
      <c r="G902" s="17">
        <v>46081</v>
      </c>
      <c r="H902" s="11" t="s">
        <v>3137</v>
      </c>
      <c r="I902" s="11" t="s">
        <v>48</v>
      </c>
      <c r="J902" s="11" t="s">
        <v>2562</v>
      </c>
      <c r="K902" s="11" t="s">
        <v>50</v>
      </c>
      <c r="L902" s="23">
        <v>46131</v>
      </c>
      <c r="M902" s="11"/>
      <c r="N902" s="9" t="s">
        <v>929</v>
      </c>
      <c r="O902" s="11" t="s">
        <v>2132</v>
      </c>
      <c r="P902" s="11" t="s">
        <v>402</v>
      </c>
      <c r="Q902" s="11"/>
    </row>
    <row r="903" spans="1:17" ht="82.5" x14ac:dyDescent="0.25">
      <c r="A903" s="13">
        <v>892</v>
      </c>
      <c r="B903" s="16" t="s">
        <v>3138</v>
      </c>
      <c r="C903" s="9">
        <v>17</v>
      </c>
      <c r="D903" s="9" t="str">
        <f t="shared" ca="1" si="17"/>
        <v>17 বছর 1 মাস 19 দিন</v>
      </c>
      <c r="E903" s="11" t="s">
        <v>3139</v>
      </c>
      <c r="F903" s="14">
        <v>31800</v>
      </c>
      <c r="G903" s="17">
        <v>46081</v>
      </c>
      <c r="H903" s="11" t="s">
        <v>3140</v>
      </c>
      <c r="I903" s="11" t="s">
        <v>1997</v>
      </c>
      <c r="J903" s="11" t="s">
        <v>1943</v>
      </c>
      <c r="K903" s="11" t="s">
        <v>50</v>
      </c>
      <c r="L903" s="23"/>
      <c r="M903" s="11"/>
      <c r="N903" s="9" t="s">
        <v>929</v>
      </c>
      <c r="O903" s="11" t="s">
        <v>2132</v>
      </c>
      <c r="P903" s="11" t="s">
        <v>402</v>
      </c>
      <c r="Q903" s="11"/>
    </row>
    <row r="904" spans="1:17" ht="82.5" x14ac:dyDescent="0.25">
      <c r="A904" s="13">
        <v>893</v>
      </c>
      <c r="B904" s="16" t="s">
        <v>3141</v>
      </c>
      <c r="C904" s="9">
        <v>16</v>
      </c>
      <c r="D904" s="9" t="str">
        <f t="shared" ca="1" si="17"/>
        <v>16 বছর 1 মাস 19 দিন</v>
      </c>
      <c r="E904" s="11" t="s">
        <v>3142</v>
      </c>
      <c r="F904" s="14">
        <v>31801</v>
      </c>
      <c r="G904" s="17">
        <v>46081</v>
      </c>
      <c r="H904" s="11" t="s">
        <v>3143</v>
      </c>
      <c r="I904" s="11" t="s">
        <v>27</v>
      </c>
      <c r="J904" s="11" t="s">
        <v>1248</v>
      </c>
      <c r="K904" s="11" t="s">
        <v>50</v>
      </c>
      <c r="L904" s="23">
        <v>46156</v>
      </c>
      <c r="M904" s="11"/>
      <c r="N904" s="9" t="s">
        <v>929</v>
      </c>
      <c r="O904" s="11" t="s">
        <v>2132</v>
      </c>
      <c r="P904" s="11" t="s">
        <v>402</v>
      </c>
      <c r="Q904" s="11"/>
    </row>
    <row r="905" spans="1:17" ht="82.5" x14ac:dyDescent="0.25">
      <c r="A905" s="13">
        <v>894</v>
      </c>
      <c r="B905" s="16" t="s">
        <v>3144</v>
      </c>
      <c r="C905" s="9">
        <v>20</v>
      </c>
      <c r="D905" s="9" t="str">
        <f t="shared" ca="1" si="17"/>
        <v>20 বছর 1 মাস 19 দিন</v>
      </c>
      <c r="E905" s="11" t="s">
        <v>3145</v>
      </c>
      <c r="F905" s="14">
        <v>31802</v>
      </c>
      <c r="G905" s="17">
        <v>46081</v>
      </c>
      <c r="H905" s="11" t="s">
        <v>3146</v>
      </c>
      <c r="I905" s="11" t="s">
        <v>27</v>
      </c>
      <c r="J905" s="11" t="s">
        <v>1943</v>
      </c>
      <c r="K905" s="11" t="s">
        <v>50</v>
      </c>
      <c r="L905" s="23"/>
      <c r="M905" s="11"/>
      <c r="N905" s="9" t="s">
        <v>929</v>
      </c>
      <c r="O905" s="11" t="s">
        <v>2132</v>
      </c>
      <c r="P905" s="11" t="s">
        <v>402</v>
      </c>
      <c r="Q905" s="11"/>
    </row>
    <row r="906" spans="1:17" ht="82.5" x14ac:dyDescent="0.25">
      <c r="A906" s="13">
        <v>895</v>
      </c>
      <c r="B906" s="16" t="s">
        <v>3147</v>
      </c>
      <c r="C906" s="9">
        <v>17</v>
      </c>
      <c r="D906" s="9" t="str">
        <f t="shared" ca="1" si="17"/>
        <v>17 বছর 1 মাস 19 দিন</v>
      </c>
      <c r="E906" s="11" t="s">
        <v>3148</v>
      </c>
      <c r="F906" s="14">
        <v>31803</v>
      </c>
      <c r="G906" s="17">
        <v>46081</v>
      </c>
      <c r="H906" s="11" t="s">
        <v>3149</v>
      </c>
      <c r="I906" s="11" t="s">
        <v>27</v>
      </c>
      <c r="J906" s="11" t="s">
        <v>1179</v>
      </c>
      <c r="K906" s="11" t="s">
        <v>50</v>
      </c>
      <c r="L906" s="23">
        <v>46110</v>
      </c>
      <c r="M906" s="11"/>
      <c r="N906" s="9" t="s">
        <v>929</v>
      </c>
      <c r="O906" s="11" t="s">
        <v>2132</v>
      </c>
      <c r="P906" s="11" t="s">
        <v>402</v>
      </c>
      <c r="Q906" s="11"/>
    </row>
    <row r="907" spans="1:17" ht="82.5" x14ac:dyDescent="0.25">
      <c r="A907" s="13">
        <v>896</v>
      </c>
      <c r="B907" s="16" t="s">
        <v>3150</v>
      </c>
      <c r="C907" s="9">
        <v>15</v>
      </c>
      <c r="D907" s="9" t="str">
        <f t="shared" ca="1" si="17"/>
        <v>15 বছর 1 মাস 19 দিন</v>
      </c>
      <c r="E907" s="11" t="s">
        <v>3151</v>
      </c>
      <c r="F907" s="14">
        <v>31804</v>
      </c>
      <c r="G907" s="17">
        <v>46081</v>
      </c>
      <c r="H907" s="11" t="s">
        <v>3152</v>
      </c>
      <c r="I907" s="11" t="s">
        <v>38</v>
      </c>
      <c r="J907" s="11" t="s">
        <v>985</v>
      </c>
      <c r="K907" s="11" t="s">
        <v>50</v>
      </c>
      <c r="L907" s="23">
        <v>46120</v>
      </c>
      <c r="M907" s="11"/>
      <c r="N907" s="9" t="s">
        <v>929</v>
      </c>
      <c r="O907" s="11" t="s">
        <v>2132</v>
      </c>
      <c r="P907" s="11" t="s">
        <v>402</v>
      </c>
      <c r="Q907" s="11"/>
    </row>
    <row r="908" spans="1:17" ht="82.5" x14ac:dyDescent="0.25">
      <c r="A908" s="13">
        <v>897</v>
      </c>
      <c r="B908" s="16" t="s">
        <v>3153</v>
      </c>
      <c r="C908" s="9">
        <v>16</v>
      </c>
      <c r="D908" s="9" t="str">
        <f t="shared" ca="1" si="17"/>
        <v>16 বছর 1 মাস 19 দিন</v>
      </c>
      <c r="E908" s="11" t="s">
        <v>3154</v>
      </c>
      <c r="F908" s="14">
        <v>31805</v>
      </c>
      <c r="G908" s="17">
        <v>46081</v>
      </c>
      <c r="H908" s="11" t="s">
        <v>3155</v>
      </c>
      <c r="I908" s="11" t="s">
        <v>196</v>
      </c>
      <c r="J908" s="11" t="s">
        <v>1200</v>
      </c>
      <c r="K908" s="11" t="s">
        <v>50</v>
      </c>
      <c r="L908" s="23">
        <v>46141</v>
      </c>
      <c r="M908" s="11"/>
      <c r="N908" s="9" t="s">
        <v>929</v>
      </c>
      <c r="O908" s="11" t="s">
        <v>2132</v>
      </c>
      <c r="P908" s="11" t="s">
        <v>402</v>
      </c>
      <c r="Q908" s="11"/>
    </row>
    <row r="909" spans="1:17" ht="82.5" x14ac:dyDescent="0.25">
      <c r="A909" s="13">
        <v>898</v>
      </c>
      <c r="B909" s="16" t="s">
        <v>3156</v>
      </c>
      <c r="C909" s="9">
        <v>17</v>
      </c>
      <c r="D909" s="9" t="str">
        <f t="shared" ca="1" si="17"/>
        <v>17 বছর 1 মাস 19 দিন</v>
      </c>
      <c r="E909" s="11" t="s">
        <v>3157</v>
      </c>
      <c r="F909" s="14">
        <v>31806</v>
      </c>
      <c r="G909" s="17">
        <v>46081</v>
      </c>
      <c r="H909" s="11" t="s">
        <v>3155</v>
      </c>
      <c r="I909" s="11" t="s">
        <v>196</v>
      </c>
      <c r="J909" s="11" t="s">
        <v>1200</v>
      </c>
      <c r="K909" s="11" t="s">
        <v>50</v>
      </c>
      <c r="L909" s="23">
        <v>46141</v>
      </c>
      <c r="M909" s="11"/>
      <c r="N909" s="9" t="s">
        <v>929</v>
      </c>
      <c r="O909" s="11" t="s">
        <v>2132</v>
      </c>
      <c r="P909" s="11" t="s">
        <v>402</v>
      </c>
      <c r="Q909" s="11"/>
    </row>
    <row r="910" spans="1:17" ht="82.5" x14ac:dyDescent="0.25">
      <c r="A910" s="13">
        <v>899</v>
      </c>
      <c r="B910" s="16" t="s">
        <v>3158</v>
      </c>
      <c r="C910" s="9">
        <v>17</v>
      </c>
      <c r="D910" s="9" t="str">
        <f t="shared" ca="1" si="17"/>
        <v>17 বছর 1 মাস 19 দিন</v>
      </c>
      <c r="E910" s="11" t="s">
        <v>3159</v>
      </c>
      <c r="F910" s="14">
        <v>31807</v>
      </c>
      <c r="G910" s="17">
        <v>46081</v>
      </c>
      <c r="H910" s="11" t="s">
        <v>3155</v>
      </c>
      <c r="I910" s="11" t="s">
        <v>196</v>
      </c>
      <c r="J910" s="11" t="s">
        <v>1200</v>
      </c>
      <c r="K910" s="11" t="s">
        <v>50</v>
      </c>
      <c r="L910" s="23">
        <v>46141</v>
      </c>
      <c r="M910" s="11"/>
      <c r="N910" s="9" t="s">
        <v>929</v>
      </c>
      <c r="O910" s="11" t="s">
        <v>2132</v>
      </c>
      <c r="P910" s="11" t="s">
        <v>402</v>
      </c>
      <c r="Q910" s="11"/>
    </row>
    <row r="911" spans="1:17" ht="82.5" x14ac:dyDescent="0.25">
      <c r="A911" s="13">
        <v>900</v>
      </c>
      <c r="B911" s="16" t="s">
        <v>3160</v>
      </c>
      <c r="C911" s="9">
        <v>17</v>
      </c>
      <c r="D911" s="9" t="str">
        <f t="shared" ca="1" si="17"/>
        <v>17 বছর 1 মাস 19 দিন</v>
      </c>
      <c r="E911" s="11" t="s">
        <v>3161</v>
      </c>
      <c r="F911" s="14">
        <v>31808</v>
      </c>
      <c r="G911" s="17">
        <v>46081</v>
      </c>
      <c r="H911" s="11" t="s">
        <v>3162</v>
      </c>
      <c r="I911" s="11" t="s">
        <v>265</v>
      </c>
      <c r="J911" s="11" t="s">
        <v>872</v>
      </c>
      <c r="K911" s="11" t="s">
        <v>50</v>
      </c>
      <c r="L911" s="23">
        <v>46145</v>
      </c>
      <c r="M911" s="11"/>
      <c r="N911" s="9" t="s">
        <v>929</v>
      </c>
      <c r="O911" s="11" t="s">
        <v>2132</v>
      </c>
      <c r="P911" s="11" t="s">
        <v>402</v>
      </c>
      <c r="Q911" s="11"/>
    </row>
    <row r="912" spans="1:17" ht="82.5" x14ac:dyDescent="0.25">
      <c r="A912" s="13">
        <v>901</v>
      </c>
      <c r="B912" s="16" t="s">
        <v>3163</v>
      </c>
      <c r="C912" s="9"/>
      <c r="D912" s="9" t="str">
        <f t="shared" ca="1" si="17"/>
        <v>0 বছর 1 মাস 19 দিন</v>
      </c>
      <c r="E912" s="11" t="s">
        <v>3164</v>
      </c>
      <c r="F912" s="14">
        <v>31809</v>
      </c>
      <c r="G912" s="17">
        <v>46081</v>
      </c>
      <c r="H912" s="11" t="s">
        <v>3165</v>
      </c>
      <c r="I912" s="11" t="s">
        <v>3166</v>
      </c>
      <c r="J912" s="11" t="s">
        <v>872</v>
      </c>
      <c r="K912" s="11" t="s">
        <v>50</v>
      </c>
      <c r="L912" s="23">
        <v>46091</v>
      </c>
      <c r="M912" s="11"/>
      <c r="N912" s="9" t="s">
        <v>929</v>
      </c>
      <c r="O912" s="11" t="s">
        <v>2132</v>
      </c>
      <c r="P912" s="11" t="s">
        <v>402</v>
      </c>
      <c r="Q912" s="11"/>
    </row>
    <row r="913" spans="1:18" ht="82.5" x14ac:dyDescent="0.25">
      <c r="A913" s="13">
        <v>902</v>
      </c>
      <c r="B913" s="16" t="s">
        <v>3167</v>
      </c>
      <c r="C913" s="9">
        <v>17</v>
      </c>
      <c r="D913" s="9" t="str">
        <f t="shared" ca="1" si="17"/>
        <v>17 বছর 1 মাস 19 দিন</v>
      </c>
      <c r="E913" s="11" t="s">
        <v>3168</v>
      </c>
      <c r="F913" s="14">
        <v>31810</v>
      </c>
      <c r="G913" s="17">
        <v>46081</v>
      </c>
      <c r="H913" s="11" t="s">
        <v>3169</v>
      </c>
      <c r="I913" s="11" t="s">
        <v>265</v>
      </c>
      <c r="J913" s="11" t="s">
        <v>872</v>
      </c>
      <c r="K913" s="11" t="s">
        <v>50</v>
      </c>
      <c r="L913" s="23">
        <v>46106</v>
      </c>
      <c r="M913" s="11"/>
      <c r="N913" s="9" t="s">
        <v>929</v>
      </c>
      <c r="O913" s="11" t="s">
        <v>2132</v>
      </c>
      <c r="P913" s="11" t="s">
        <v>402</v>
      </c>
      <c r="Q913" s="11"/>
    </row>
    <row r="914" spans="1:18" ht="82.5" x14ac:dyDescent="0.25">
      <c r="A914" s="13">
        <v>903</v>
      </c>
      <c r="B914" s="16" t="s">
        <v>3170</v>
      </c>
      <c r="C914" s="9">
        <v>16</v>
      </c>
      <c r="D914" s="9" t="str">
        <f t="shared" ca="1" si="17"/>
        <v>16 বছর 1 মাস 19 দিন</v>
      </c>
      <c r="E914" s="11" t="s">
        <v>3171</v>
      </c>
      <c r="F914" s="14">
        <v>31811</v>
      </c>
      <c r="G914" s="17">
        <v>46081</v>
      </c>
      <c r="H914" s="11" t="s">
        <v>3172</v>
      </c>
      <c r="I914" s="11" t="s">
        <v>265</v>
      </c>
      <c r="J914" s="11" t="s">
        <v>2542</v>
      </c>
      <c r="K914" s="11" t="s">
        <v>50</v>
      </c>
      <c r="L914" s="23">
        <v>46093</v>
      </c>
      <c r="M914" s="11"/>
      <c r="N914" s="9" t="s">
        <v>929</v>
      </c>
      <c r="O914" s="11" t="s">
        <v>2132</v>
      </c>
      <c r="P914" s="11" t="s">
        <v>402</v>
      </c>
      <c r="Q914" s="11"/>
    </row>
    <row r="915" spans="1:18" ht="82.5" x14ac:dyDescent="0.25">
      <c r="A915" s="13">
        <v>904</v>
      </c>
      <c r="B915" s="16" t="s">
        <v>3173</v>
      </c>
      <c r="C915" s="9">
        <v>16</v>
      </c>
      <c r="D915" s="9" t="str">
        <f t="shared" ca="1" si="17"/>
        <v>16 বছর 1 মাস 19 দিন</v>
      </c>
      <c r="E915" s="11" t="s">
        <v>3174</v>
      </c>
      <c r="F915" s="14">
        <v>31812</v>
      </c>
      <c r="G915" s="17">
        <v>46081</v>
      </c>
      <c r="H915" s="11" t="s">
        <v>3175</v>
      </c>
      <c r="I915" s="11" t="s">
        <v>196</v>
      </c>
      <c r="J915" s="11" t="s">
        <v>1063</v>
      </c>
      <c r="K915" s="11" t="s">
        <v>50</v>
      </c>
      <c r="L915" s="23">
        <v>46118</v>
      </c>
      <c r="M915" s="11"/>
      <c r="N915" s="9" t="s">
        <v>929</v>
      </c>
      <c r="O915" s="11" t="s">
        <v>2132</v>
      </c>
      <c r="P915" s="11" t="s">
        <v>402</v>
      </c>
      <c r="Q915" s="11"/>
    </row>
    <row r="916" spans="1:18" ht="82.5" x14ac:dyDescent="0.25">
      <c r="A916" s="13">
        <v>905</v>
      </c>
      <c r="B916" s="11" t="s">
        <v>3176</v>
      </c>
      <c r="C916" s="9">
        <v>16</v>
      </c>
      <c r="D916" s="9" t="str">
        <f t="shared" ca="1" si="17"/>
        <v>17 বছর 11 মাস 5 দিন</v>
      </c>
      <c r="E916" s="11" t="s">
        <v>3177</v>
      </c>
      <c r="F916" s="9" t="s">
        <v>3178</v>
      </c>
      <c r="G916" s="20">
        <v>45423</v>
      </c>
      <c r="H916" s="11" t="s">
        <v>3179</v>
      </c>
      <c r="I916" s="11" t="s">
        <v>265</v>
      </c>
      <c r="J916" s="11" t="s">
        <v>3180</v>
      </c>
      <c r="K916" s="16" t="s">
        <v>50</v>
      </c>
      <c r="L916" s="9"/>
      <c r="M916" s="9"/>
      <c r="N916" s="9" t="s">
        <v>2260</v>
      </c>
      <c r="O916" s="11" t="s">
        <v>100</v>
      </c>
      <c r="P916" s="11" t="s">
        <v>174</v>
      </c>
      <c r="Q916" s="11"/>
    </row>
    <row r="917" spans="1:18" ht="82.5" x14ac:dyDescent="0.25">
      <c r="A917" s="13">
        <v>906</v>
      </c>
      <c r="B917" s="22" t="s">
        <v>3181</v>
      </c>
      <c r="C917" s="9">
        <v>17</v>
      </c>
      <c r="D917" s="11" t="str">
        <f t="shared" ca="1" si="17"/>
        <v>18 বছর 2 মাস 5 দিন</v>
      </c>
      <c r="E917" s="11" t="s">
        <v>3182</v>
      </c>
      <c r="F917" s="11" t="s">
        <v>3183</v>
      </c>
      <c r="G917" s="20">
        <v>45699</v>
      </c>
      <c r="H917" s="11" t="s">
        <v>3184</v>
      </c>
      <c r="I917" s="11" t="s">
        <v>202</v>
      </c>
      <c r="J917" s="11" t="s">
        <v>3185</v>
      </c>
      <c r="K917" s="16" t="s">
        <v>50</v>
      </c>
      <c r="L917" s="17">
        <v>45704</v>
      </c>
      <c r="M917" s="11"/>
      <c r="N917" s="9" t="s">
        <v>30</v>
      </c>
      <c r="O917" s="11" t="s">
        <v>51</v>
      </c>
      <c r="P917" s="11" t="s">
        <v>1376</v>
      </c>
      <c r="Q917" s="11" t="s">
        <v>960</v>
      </c>
    </row>
    <row r="918" spans="1:18" ht="16.5" customHeight="1" x14ac:dyDescent="0.3">
      <c r="A918" s="32" t="s">
        <v>3186</v>
      </c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3" t="s">
        <v>3187</v>
      </c>
      <c r="O918" s="33"/>
      <c r="P918" s="33"/>
      <c r="Q918" s="33"/>
      <c r="R918" s="34"/>
    </row>
    <row r="919" spans="1:18" x14ac:dyDescent="0.3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6"/>
      <c r="O919" s="36"/>
      <c r="P919" s="36"/>
      <c r="Q919" s="36"/>
    </row>
    <row r="920" spans="1:18" x14ac:dyDescent="0.3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6"/>
      <c r="O920" s="36"/>
      <c r="P920" s="36"/>
      <c r="Q920" s="36"/>
    </row>
    <row r="921" spans="1:18" x14ac:dyDescent="0.3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6"/>
      <c r="O921" s="36"/>
      <c r="P921" s="36"/>
      <c r="Q921" s="36"/>
    </row>
    <row r="922" spans="1:18" x14ac:dyDescent="0.3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6"/>
      <c r="O922" s="36"/>
      <c r="P922" s="36"/>
      <c r="Q922" s="36"/>
    </row>
    <row r="923" spans="1:18" x14ac:dyDescent="0.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6"/>
      <c r="O923" s="36"/>
      <c r="P923" s="36"/>
      <c r="Q923" s="36"/>
    </row>
    <row r="924" spans="1:18" x14ac:dyDescent="0.3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6"/>
      <c r="O924" s="36"/>
      <c r="P924" s="36"/>
      <c r="Q924" s="36"/>
    </row>
    <row r="925" spans="1:18" x14ac:dyDescent="0.3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6"/>
      <c r="O925" s="36"/>
      <c r="P925" s="36"/>
      <c r="Q925" s="36"/>
    </row>
    <row r="926" spans="1:18" x14ac:dyDescent="0.25">
      <c r="A926" s="37"/>
      <c r="B926" s="29"/>
      <c r="F926" s="2"/>
      <c r="G926" s="38"/>
      <c r="K926" s="39"/>
      <c r="L926" s="40"/>
      <c r="N926" s="12"/>
    </row>
    <row r="927" spans="1:18" x14ac:dyDescent="0.25">
      <c r="A927" s="13">
        <v>907</v>
      </c>
    </row>
    <row r="928" spans="1:18" x14ac:dyDescent="0.25">
      <c r="A928" s="13">
        <v>908</v>
      </c>
    </row>
    <row r="929" spans="1:1" s="2" customFormat="1" x14ac:dyDescent="0.25">
      <c r="A929" s="13">
        <v>909</v>
      </c>
    </row>
    <row r="930" spans="1:1" s="2" customFormat="1" x14ac:dyDescent="0.25">
      <c r="A930" s="13">
        <v>910</v>
      </c>
    </row>
    <row r="931" spans="1:1" s="2" customFormat="1" x14ac:dyDescent="0.25">
      <c r="A931" s="13">
        <v>911</v>
      </c>
    </row>
    <row r="932" spans="1:1" s="2" customFormat="1" x14ac:dyDescent="0.25">
      <c r="A932" s="13">
        <v>912</v>
      </c>
    </row>
    <row r="933" spans="1:1" s="2" customFormat="1" x14ac:dyDescent="0.25">
      <c r="A933" s="13">
        <v>913</v>
      </c>
    </row>
    <row r="934" spans="1:1" s="2" customFormat="1" x14ac:dyDescent="0.25">
      <c r="A934" s="13">
        <v>914</v>
      </c>
    </row>
    <row r="935" spans="1:1" s="2" customFormat="1" x14ac:dyDescent="0.25">
      <c r="A935" s="13">
        <v>915</v>
      </c>
    </row>
    <row r="936" spans="1:1" s="2" customFormat="1" x14ac:dyDescent="0.25">
      <c r="A936" s="13">
        <v>916</v>
      </c>
    </row>
    <row r="937" spans="1:1" s="2" customFormat="1" x14ac:dyDescent="0.25">
      <c r="A937" s="13">
        <v>917</v>
      </c>
    </row>
    <row r="938" spans="1:1" s="2" customFormat="1" x14ac:dyDescent="0.25">
      <c r="A938" s="13">
        <v>918</v>
      </c>
    </row>
    <row r="939" spans="1:1" s="2" customFormat="1" x14ac:dyDescent="0.25">
      <c r="A939" s="13">
        <v>919</v>
      </c>
    </row>
    <row r="940" spans="1:1" s="2" customFormat="1" x14ac:dyDescent="0.25">
      <c r="A940" s="13">
        <v>920</v>
      </c>
    </row>
    <row r="941" spans="1:1" s="2" customFormat="1" x14ac:dyDescent="0.25">
      <c r="A941" s="13">
        <v>921</v>
      </c>
    </row>
    <row r="942" spans="1:1" s="2" customFormat="1" x14ac:dyDescent="0.25">
      <c r="A942" s="13">
        <v>922</v>
      </c>
    </row>
    <row r="943" spans="1:1" s="2" customFormat="1" x14ac:dyDescent="0.25">
      <c r="A943" s="13">
        <v>923</v>
      </c>
    </row>
    <row r="944" spans="1:1" s="2" customFormat="1" x14ac:dyDescent="0.25">
      <c r="A944" s="13">
        <v>924</v>
      </c>
    </row>
    <row r="945" spans="1:1" s="2" customFormat="1" x14ac:dyDescent="0.25">
      <c r="A945" s="13">
        <v>925</v>
      </c>
    </row>
    <row r="946" spans="1:1" s="2" customFormat="1" x14ac:dyDescent="0.25">
      <c r="A946" s="13">
        <v>926</v>
      </c>
    </row>
    <row r="947" spans="1:1" s="2" customFormat="1" x14ac:dyDescent="0.25">
      <c r="A947" s="13">
        <v>927</v>
      </c>
    </row>
    <row r="948" spans="1:1" s="2" customFormat="1" x14ac:dyDescent="0.25">
      <c r="A948" s="13">
        <v>928</v>
      </c>
    </row>
    <row r="949" spans="1:1" s="2" customFormat="1" x14ac:dyDescent="0.25">
      <c r="A949" s="13">
        <v>929</v>
      </c>
    </row>
    <row r="950" spans="1:1" s="2" customFormat="1" x14ac:dyDescent="0.25">
      <c r="A950" s="13">
        <v>930</v>
      </c>
    </row>
    <row r="951" spans="1:1" s="2" customFormat="1" x14ac:dyDescent="0.25">
      <c r="A951" s="13">
        <v>931</v>
      </c>
    </row>
    <row r="952" spans="1:1" s="2" customFormat="1" x14ac:dyDescent="0.25">
      <c r="A952" s="13">
        <v>932</v>
      </c>
    </row>
    <row r="953" spans="1:1" s="2" customFormat="1" x14ac:dyDescent="0.25">
      <c r="A953" s="13">
        <v>933</v>
      </c>
    </row>
    <row r="954" spans="1:1" s="2" customFormat="1" x14ac:dyDescent="0.25">
      <c r="A954" s="13">
        <v>934</v>
      </c>
    </row>
    <row r="955" spans="1:1" s="2" customFormat="1" x14ac:dyDescent="0.25">
      <c r="A955" s="13">
        <v>935</v>
      </c>
    </row>
    <row r="956" spans="1:1" s="2" customFormat="1" x14ac:dyDescent="0.25">
      <c r="A956" s="13">
        <v>936</v>
      </c>
    </row>
    <row r="957" spans="1:1" s="2" customFormat="1" x14ac:dyDescent="0.25">
      <c r="A957" s="13">
        <v>937</v>
      </c>
    </row>
    <row r="958" spans="1:1" s="2" customFormat="1" x14ac:dyDescent="0.25">
      <c r="A958" s="13">
        <v>938</v>
      </c>
    </row>
    <row r="959" spans="1:1" s="2" customFormat="1" x14ac:dyDescent="0.25">
      <c r="A959" s="13">
        <v>939</v>
      </c>
    </row>
    <row r="960" spans="1:1" s="2" customFormat="1" x14ac:dyDescent="0.25">
      <c r="A960" s="13">
        <v>940</v>
      </c>
    </row>
    <row r="961" spans="1:1" s="2" customFormat="1" x14ac:dyDescent="0.25">
      <c r="A961" s="13">
        <v>941</v>
      </c>
    </row>
    <row r="962" spans="1:1" s="2" customFormat="1" x14ac:dyDescent="0.25">
      <c r="A962" s="13">
        <v>942</v>
      </c>
    </row>
    <row r="963" spans="1:1" s="2" customFormat="1" x14ac:dyDescent="0.25">
      <c r="A963" s="13">
        <v>944</v>
      </c>
    </row>
    <row r="964" spans="1:1" s="2" customFormat="1" x14ac:dyDescent="0.25">
      <c r="A964" s="13">
        <v>945</v>
      </c>
    </row>
    <row r="965" spans="1:1" s="2" customFormat="1" x14ac:dyDescent="0.25">
      <c r="A965" s="13">
        <v>946</v>
      </c>
    </row>
    <row r="966" spans="1:1" s="2" customFormat="1" x14ac:dyDescent="0.25">
      <c r="A966" s="13">
        <v>947</v>
      </c>
    </row>
    <row r="967" spans="1:1" s="2" customFormat="1" x14ac:dyDescent="0.25">
      <c r="A967" s="13">
        <v>948</v>
      </c>
    </row>
    <row r="968" spans="1:1" s="2" customFormat="1" x14ac:dyDescent="0.25">
      <c r="A968" s="13">
        <v>949</v>
      </c>
    </row>
    <row r="969" spans="1:1" s="2" customFormat="1" x14ac:dyDescent="0.25">
      <c r="A969" s="13">
        <v>950</v>
      </c>
    </row>
    <row r="970" spans="1:1" s="2" customFormat="1" x14ac:dyDescent="0.25">
      <c r="A970" s="13">
        <v>951</v>
      </c>
    </row>
    <row r="971" spans="1:1" s="2" customFormat="1" x14ac:dyDescent="0.25">
      <c r="A971" s="13">
        <v>952</v>
      </c>
    </row>
    <row r="972" spans="1:1" s="2" customFormat="1" x14ac:dyDescent="0.25">
      <c r="A972" s="13">
        <v>953</v>
      </c>
    </row>
    <row r="973" spans="1:1" s="2" customFormat="1" x14ac:dyDescent="0.25">
      <c r="A973" s="13">
        <v>954</v>
      </c>
    </row>
    <row r="974" spans="1:1" s="2" customFormat="1" x14ac:dyDescent="0.25">
      <c r="A974" s="13">
        <v>955</v>
      </c>
    </row>
    <row r="975" spans="1:1" s="2" customFormat="1" x14ac:dyDescent="0.25">
      <c r="A975" s="13">
        <v>956</v>
      </c>
    </row>
    <row r="976" spans="1:1" s="2" customFormat="1" x14ac:dyDescent="0.25">
      <c r="A976" s="13">
        <v>957</v>
      </c>
    </row>
    <row r="977" spans="1:1" s="2" customFormat="1" x14ac:dyDescent="0.25">
      <c r="A977" s="13">
        <v>958</v>
      </c>
    </row>
    <row r="978" spans="1:1" s="2" customFormat="1" x14ac:dyDescent="0.25">
      <c r="A978" s="13">
        <v>959</v>
      </c>
    </row>
    <row r="979" spans="1:1" s="2" customFormat="1" x14ac:dyDescent="0.25">
      <c r="A979" s="13">
        <v>960</v>
      </c>
    </row>
    <row r="980" spans="1:1" s="2" customFormat="1" x14ac:dyDescent="0.25">
      <c r="A980" s="13">
        <v>961</v>
      </c>
    </row>
    <row r="981" spans="1:1" s="2" customFormat="1" x14ac:dyDescent="0.25">
      <c r="A981" s="13">
        <v>962</v>
      </c>
    </row>
    <row r="982" spans="1:1" s="2" customFormat="1" x14ac:dyDescent="0.25">
      <c r="A982" s="13">
        <v>963</v>
      </c>
    </row>
    <row r="983" spans="1:1" s="2" customFormat="1" x14ac:dyDescent="0.25">
      <c r="A983" s="13">
        <v>964</v>
      </c>
    </row>
    <row r="984" spans="1:1" s="2" customFormat="1" x14ac:dyDescent="0.25">
      <c r="A984" s="13">
        <v>965</v>
      </c>
    </row>
    <row r="985" spans="1:1" s="2" customFormat="1" x14ac:dyDescent="0.25">
      <c r="A985" s="13">
        <v>966</v>
      </c>
    </row>
    <row r="986" spans="1:1" s="2" customFormat="1" x14ac:dyDescent="0.25">
      <c r="A986" s="13">
        <v>967</v>
      </c>
    </row>
    <row r="987" spans="1:1" s="2" customFormat="1" x14ac:dyDescent="0.25">
      <c r="A987" s="13">
        <v>968</v>
      </c>
    </row>
    <row r="988" spans="1:1" s="2" customFormat="1" x14ac:dyDescent="0.25">
      <c r="A988" s="13">
        <v>969</v>
      </c>
    </row>
    <row r="989" spans="1:1" s="2" customFormat="1" x14ac:dyDescent="0.25">
      <c r="A989" s="13">
        <v>970</v>
      </c>
    </row>
    <row r="990" spans="1:1" s="2" customFormat="1" x14ac:dyDescent="0.25">
      <c r="A990" s="13">
        <v>971</v>
      </c>
    </row>
    <row r="991" spans="1:1" s="2" customFormat="1" x14ac:dyDescent="0.25">
      <c r="A991" s="13">
        <v>972</v>
      </c>
    </row>
    <row r="992" spans="1:1" s="2" customFormat="1" x14ac:dyDescent="0.25">
      <c r="A992" s="13">
        <v>973</v>
      </c>
    </row>
    <row r="993" spans="1:1" s="2" customFormat="1" x14ac:dyDescent="0.25">
      <c r="A993" s="13">
        <v>974</v>
      </c>
    </row>
    <row r="994" spans="1:1" s="2" customFormat="1" x14ac:dyDescent="0.25">
      <c r="A994" s="13">
        <v>975</v>
      </c>
    </row>
    <row r="995" spans="1:1" s="2" customFormat="1" x14ac:dyDescent="0.25">
      <c r="A995" s="13">
        <v>976</v>
      </c>
    </row>
    <row r="996" spans="1:1" s="2" customFormat="1" x14ac:dyDescent="0.25">
      <c r="A996" s="13">
        <v>977</v>
      </c>
    </row>
    <row r="997" spans="1:1" s="2" customFormat="1" x14ac:dyDescent="0.25">
      <c r="A997" s="13">
        <v>978</v>
      </c>
    </row>
    <row r="998" spans="1:1" s="2" customFormat="1" x14ac:dyDescent="0.25">
      <c r="A998" s="13">
        <v>979</v>
      </c>
    </row>
    <row r="999" spans="1:1" s="2" customFormat="1" x14ac:dyDescent="0.25">
      <c r="A999" s="13">
        <v>980</v>
      </c>
    </row>
    <row r="1000" spans="1:1" s="2" customFormat="1" x14ac:dyDescent="0.25">
      <c r="A1000" s="13">
        <v>981</v>
      </c>
    </row>
    <row r="1001" spans="1:1" s="2" customFormat="1" x14ac:dyDescent="0.25">
      <c r="A1001" s="13">
        <v>982</v>
      </c>
    </row>
    <row r="1002" spans="1:1" s="2" customFormat="1" x14ac:dyDescent="0.25">
      <c r="A1002" s="13">
        <v>983</v>
      </c>
    </row>
    <row r="1003" spans="1:1" s="2" customFormat="1" x14ac:dyDescent="0.25">
      <c r="A1003" s="13">
        <v>984</v>
      </c>
    </row>
    <row r="1004" spans="1:1" s="2" customFormat="1" x14ac:dyDescent="0.25">
      <c r="A1004" s="13">
        <v>985</v>
      </c>
    </row>
    <row r="1005" spans="1:1" s="2" customFormat="1" x14ac:dyDescent="0.25">
      <c r="A1005" s="13">
        <v>986</v>
      </c>
    </row>
    <row r="1006" spans="1:1" s="2" customFormat="1" x14ac:dyDescent="0.25">
      <c r="A1006" s="13">
        <v>987</v>
      </c>
    </row>
    <row r="1007" spans="1:1" s="2" customFormat="1" x14ac:dyDescent="0.25">
      <c r="A1007" s="13">
        <v>988</v>
      </c>
    </row>
    <row r="1008" spans="1:1" s="2" customFormat="1" x14ac:dyDescent="0.25">
      <c r="A1008" s="13">
        <v>989</v>
      </c>
    </row>
    <row r="1009" spans="1:1" s="2" customFormat="1" x14ac:dyDescent="0.25">
      <c r="A1009" s="13">
        <v>990</v>
      </c>
    </row>
    <row r="1010" spans="1:1" s="2" customFormat="1" x14ac:dyDescent="0.25">
      <c r="A1010" s="13">
        <v>991</v>
      </c>
    </row>
    <row r="1011" spans="1:1" s="2" customFormat="1" x14ac:dyDescent="0.25">
      <c r="A1011" s="13">
        <v>992</v>
      </c>
    </row>
    <row r="1012" spans="1:1" s="2" customFormat="1" x14ac:dyDescent="0.25">
      <c r="A1012" s="13">
        <v>993</v>
      </c>
    </row>
    <row r="1013" spans="1:1" s="2" customFormat="1" x14ac:dyDescent="0.25">
      <c r="A1013" s="13">
        <v>994</v>
      </c>
    </row>
    <row r="1014" spans="1:1" s="2" customFormat="1" x14ac:dyDescent="0.25">
      <c r="A1014" s="13">
        <v>995</v>
      </c>
    </row>
    <row r="1015" spans="1:1" s="2" customFormat="1" x14ac:dyDescent="0.25">
      <c r="A1015" s="13">
        <v>996</v>
      </c>
    </row>
    <row r="1016" spans="1:1" s="2" customFormat="1" x14ac:dyDescent="0.25">
      <c r="A1016" s="13">
        <v>997</v>
      </c>
    </row>
    <row r="1017" spans="1:1" s="2" customFormat="1" x14ac:dyDescent="0.25">
      <c r="A1017" s="13">
        <v>998</v>
      </c>
    </row>
    <row r="1018" spans="1:1" s="2" customFormat="1" x14ac:dyDescent="0.25">
      <c r="A1018" s="13">
        <v>999</v>
      </c>
    </row>
    <row r="1019" spans="1:1" s="2" customFormat="1" x14ac:dyDescent="0.25">
      <c r="A1019" s="13">
        <v>1000</v>
      </c>
    </row>
    <row r="1020" spans="1:1" s="2" customFormat="1" x14ac:dyDescent="0.25">
      <c r="A1020" s="13">
        <v>1001</v>
      </c>
    </row>
    <row r="1021" spans="1:1" s="2" customFormat="1" x14ac:dyDescent="0.25">
      <c r="A1021" s="13">
        <v>1002</v>
      </c>
    </row>
    <row r="1022" spans="1:1" s="2" customFormat="1" x14ac:dyDescent="0.25">
      <c r="A1022" s="13">
        <v>1003</v>
      </c>
    </row>
    <row r="1023" spans="1:1" s="2" customFormat="1" x14ac:dyDescent="0.25">
      <c r="A1023" s="13">
        <v>1004</v>
      </c>
    </row>
    <row r="1024" spans="1:1" s="2" customFormat="1" x14ac:dyDescent="0.25">
      <c r="A1024" s="13">
        <v>1005</v>
      </c>
    </row>
    <row r="1025" spans="1:1" s="2" customFormat="1" x14ac:dyDescent="0.25">
      <c r="A1025" s="13">
        <v>1006</v>
      </c>
    </row>
    <row r="1026" spans="1:1" s="2" customFormat="1" x14ac:dyDescent="0.25">
      <c r="A1026" s="13">
        <v>1007</v>
      </c>
    </row>
    <row r="1027" spans="1:1" s="2" customFormat="1" x14ac:dyDescent="0.25">
      <c r="A1027" s="13">
        <v>1008</v>
      </c>
    </row>
    <row r="1028" spans="1:1" s="2" customFormat="1" x14ac:dyDescent="0.25">
      <c r="A1028" s="13">
        <v>1009</v>
      </c>
    </row>
    <row r="1029" spans="1:1" s="2" customFormat="1" x14ac:dyDescent="0.25">
      <c r="A1029" s="13">
        <v>1010</v>
      </c>
    </row>
    <row r="1030" spans="1:1" s="2" customFormat="1" x14ac:dyDescent="0.25">
      <c r="A1030" s="13">
        <v>1011</v>
      </c>
    </row>
    <row r="1031" spans="1:1" s="2" customFormat="1" x14ac:dyDescent="0.25">
      <c r="A1031" s="13">
        <v>1012</v>
      </c>
    </row>
    <row r="1032" spans="1:1" s="2" customFormat="1" x14ac:dyDescent="0.25">
      <c r="A1032" s="13">
        <v>1013</v>
      </c>
    </row>
    <row r="1033" spans="1:1" s="2" customFormat="1" x14ac:dyDescent="0.25">
      <c r="A1033" s="13">
        <v>1014</v>
      </c>
    </row>
    <row r="1034" spans="1:1" s="2" customFormat="1" x14ac:dyDescent="0.25">
      <c r="A1034" s="13">
        <v>1015</v>
      </c>
    </row>
    <row r="1035" spans="1:1" s="2" customFormat="1" x14ac:dyDescent="0.25">
      <c r="A1035" s="13">
        <v>1016</v>
      </c>
    </row>
    <row r="1036" spans="1:1" s="2" customFormat="1" x14ac:dyDescent="0.25">
      <c r="A1036" s="13">
        <v>1017</v>
      </c>
    </row>
    <row r="1037" spans="1:1" s="2" customFormat="1" x14ac:dyDescent="0.25">
      <c r="A1037" s="13">
        <v>1018</v>
      </c>
    </row>
    <row r="1038" spans="1:1" s="2" customFormat="1" x14ac:dyDescent="0.25">
      <c r="A1038" s="13">
        <v>1019</v>
      </c>
    </row>
    <row r="1039" spans="1:1" s="2" customFormat="1" x14ac:dyDescent="0.25">
      <c r="A1039" s="13">
        <v>1020</v>
      </c>
    </row>
    <row r="1040" spans="1:1" s="2" customFormat="1" x14ac:dyDescent="0.25">
      <c r="A1040" s="13">
        <v>1021</v>
      </c>
    </row>
    <row r="1041" spans="1:1" s="2" customFormat="1" x14ac:dyDescent="0.25">
      <c r="A1041" s="13">
        <v>1022</v>
      </c>
    </row>
    <row r="1042" spans="1:1" s="2" customFormat="1" x14ac:dyDescent="0.25">
      <c r="A1042" s="13">
        <v>1023</v>
      </c>
    </row>
    <row r="1043" spans="1:1" s="2" customFormat="1" x14ac:dyDescent="0.25">
      <c r="A1043" s="13">
        <v>1024</v>
      </c>
    </row>
    <row r="1044" spans="1:1" s="2" customFormat="1" x14ac:dyDescent="0.25">
      <c r="A1044" s="13">
        <v>1025</v>
      </c>
    </row>
    <row r="1045" spans="1:1" s="2" customFormat="1" x14ac:dyDescent="0.25">
      <c r="A1045" s="13">
        <v>1026</v>
      </c>
    </row>
    <row r="1046" spans="1:1" s="2" customFormat="1" x14ac:dyDescent="0.25">
      <c r="A1046" s="13">
        <v>1027</v>
      </c>
    </row>
    <row r="1047" spans="1:1" s="2" customFormat="1" x14ac:dyDescent="0.25">
      <c r="A1047" s="13">
        <v>1028</v>
      </c>
    </row>
    <row r="1048" spans="1:1" s="2" customFormat="1" x14ac:dyDescent="0.25">
      <c r="A1048" s="13">
        <v>1029</v>
      </c>
    </row>
    <row r="1049" spans="1:1" s="2" customFormat="1" x14ac:dyDescent="0.25">
      <c r="A1049" s="13">
        <v>1030</v>
      </c>
    </row>
    <row r="1050" spans="1:1" s="2" customFormat="1" x14ac:dyDescent="0.25">
      <c r="A1050" s="13">
        <v>1031</v>
      </c>
    </row>
    <row r="1051" spans="1:1" s="2" customFormat="1" x14ac:dyDescent="0.25">
      <c r="A1051" s="13">
        <v>1032</v>
      </c>
    </row>
    <row r="1052" spans="1:1" s="2" customFormat="1" x14ac:dyDescent="0.25">
      <c r="A1052" s="13">
        <v>1033</v>
      </c>
    </row>
    <row r="1053" spans="1:1" s="2" customFormat="1" x14ac:dyDescent="0.25">
      <c r="A1053" s="13">
        <v>1034</v>
      </c>
    </row>
    <row r="1054" spans="1:1" s="2" customFormat="1" x14ac:dyDescent="0.25">
      <c r="A1054" s="13">
        <v>1035</v>
      </c>
    </row>
    <row r="1055" spans="1:1" s="2" customFormat="1" x14ac:dyDescent="0.25">
      <c r="A1055" s="13">
        <v>1036</v>
      </c>
    </row>
    <row r="1056" spans="1:1" s="2" customFormat="1" x14ac:dyDescent="0.25">
      <c r="A1056" s="13">
        <v>1037</v>
      </c>
    </row>
    <row r="1057" spans="1:1" s="2" customFormat="1" x14ac:dyDescent="0.25">
      <c r="A1057" s="13">
        <v>1038</v>
      </c>
    </row>
    <row r="1058" spans="1:1" s="2" customFormat="1" x14ac:dyDescent="0.25">
      <c r="A1058" s="13">
        <v>1039</v>
      </c>
    </row>
    <row r="1059" spans="1:1" s="2" customFormat="1" x14ac:dyDescent="0.25">
      <c r="A1059" s="13">
        <v>1040</v>
      </c>
    </row>
    <row r="1060" spans="1:1" s="2" customFormat="1" x14ac:dyDescent="0.25">
      <c r="A1060" s="13">
        <v>1041</v>
      </c>
    </row>
    <row r="1061" spans="1:1" s="2" customFormat="1" x14ac:dyDescent="0.25">
      <c r="A1061" s="13">
        <v>1042</v>
      </c>
    </row>
    <row r="1062" spans="1:1" s="2" customFormat="1" x14ac:dyDescent="0.25">
      <c r="A1062" s="13">
        <v>1043</v>
      </c>
    </row>
    <row r="1063" spans="1:1" s="2" customFormat="1" x14ac:dyDescent="0.25">
      <c r="A1063" s="13">
        <v>1044</v>
      </c>
    </row>
    <row r="1064" spans="1:1" s="2" customFormat="1" x14ac:dyDescent="0.25">
      <c r="A1064" s="13">
        <v>1045</v>
      </c>
    </row>
    <row r="1065" spans="1:1" s="2" customFormat="1" x14ac:dyDescent="0.25">
      <c r="A1065" s="13">
        <v>1046</v>
      </c>
    </row>
    <row r="1066" spans="1:1" s="2" customFormat="1" x14ac:dyDescent="0.25">
      <c r="A1066" s="13">
        <v>1047</v>
      </c>
    </row>
    <row r="1067" spans="1:1" s="2" customFormat="1" x14ac:dyDescent="0.25">
      <c r="A1067" s="13">
        <v>1048</v>
      </c>
    </row>
    <row r="1068" spans="1:1" s="2" customFormat="1" x14ac:dyDescent="0.25">
      <c r="A1068" s="13">
        <v>1049</v>
      </c>
    </row>
    <row r="1069" spans="1:1" s="2" customFormat="1" x14ac:dyDescent="0.25">
      <c r="A1069" s="13">
        <v>1050</v>
      </c>
    </row>
    <row r="1070" spans="1:1" s="2" customFormat="1" x14ac:dyDescent="0.25">
      <c r="A1070" s="13">
        <v>1051</v>
      </c>
    </row>
    <row r="1071" spans="1:1" s="2" customFormat="1" x14ac:dyDescent="0.25">
      <c r="A1071" s="13">
        <v>1052</v>
      </c>
    </row>
    <row r="1072" spans="1:1" s="2" customFormat="1" x14ac:dyDescent="0.25">
      <c r="A1072" s="13">
        <v>1053</v>
      </c>
    </row>
    <row r="1073" spans="1:1" s="2" customFormat="1" x14ac:dyDescent="0.25">
      <c r="A1073" s="13">
        <v>1054</v>
      </c>
    </row>
    <row r="1074" spans="1:1" s="2" customFormat="1" x14ac:dyDescent="0.25">
      <c r="A1074" s="13">
        <v>1055</v>
      </c>
    </row>
    <row r="1075" spans="1:1" s="2" customFormat="1" x14ac:dyDescent="0.25">
      <c r="A1075" s="13">
        <v>1056</v>
      </c>
    </row>
    <row r="1076" spans="1:1" s="2" customFormat="1" x14ac:dyDescent="0.25">
      <c r="A1076" s="13">
        <v>1057</v>
      </c>
    </row>
    <row r="1077" spans="1:1" s="2" customFormat="1" x14ac:dyDescent="0.25">
      <c r="A1077" s="13">
        <v>1058</v>
      </c>
    </row>
    <row r="1078" spans="1:1" s="2" customFormat="1" x14ac:dyDescent="0.25">
      <c r="A1078" s="13">
        <v>1059</v>
      </c>
    </row>
    <row r="1079" spans="1:1" s="2" customFormat="1" x14ac:dyDescent="0.25">
      <c r="A1079" s="13">
        <v>1060</v>
      </c>
    </row>
    <row r="1080" spans="1:1" s="2" customFormat="1" x14ac:dyDescent="0.25">
      <c r="A1080" s="13">
        <v>1061</v>
      </c>
    </row>
    <row r="1081" spans="1:1" s="2" customFormat="1" x14ac:dyDescent="0.25">
      <c r="A1081" s="13">
        <v>1062</v>
      </c>
    </row>
    <row r="1082" spans="1:1" s="2" customFormat="1" x14ac:dyDescent="0.25">
      <c r="A1082" s="13">
        <v>1063</v>
      </c>
    </row>
    <row r="1083" spans="1:1" s="2" customFormat="1" x14ac:dyDescent="0.25">
      <c r="A1083" s="13">
        <v>1064</v>
      </c>
    </row>
    <row r="1084" spans="1:1" s="2" customFormat="1" x14ac:dyDescent="0.25">
      <c r="A1084" s="13">
        <v>1065</v>
      </c>
    </row>
    <row r="1085" spans="1:1" s="2" customFormat="1" x14ac:dyDescent="0.25">
      <c r="A1085" s="13">
        <v>1066</v>
      </c>
    </row>
    <row r="1086" spans="1:1" s="2" customFormat="1" x14ac:dyDescent="0.25">
      <c r="A1086" s="13">
        <v>1067</v>
      </c>
    </row>
    <row r="1087" spans="1:1" s="2" customFormat="1" x14ac:dyDescent="0.25">
      <c r="A1087" s="13">
        <v>1068</v>
      </c>
    </row>
    <row r="1088" spans="1:1" s="2" customFormat="1" x14ac:dyDescent="0.25">
      <c r="A1088" s="13">
        <v>1069</v>
      </c>
    </row>
    <row r="1089" spans="1:1" s="2" customFormat="1" x14ac:dyDescent="0.25">
      <c r="A1089" s="13">
        <v>1070</v>
      </c>
    </row>
    <row r="1090" spans="1:1" s="2" customFormat="1" x14ac:dyDescent="0.25">
      <c r="A1090" s="13">
        <v>1071</v>
      </c>
    </row>
    <row r="1091" spans="1:1" s="2" customFormat="1" x14ac:dyDescent="0.25">
      <c r="A1091" s="13">
        <v>1072</v>
      </c>
    </row>
    <row r="1092" spans="1:1" s="2" customFormat="1" x14ac:dyDescent="0.25">
      <c r="A1092" s="13">
        <v>1073</v>
      </c>
    </row>
    <row r="1093" spans="1:1" s="2" customFormat="1" x14ac:dyDescent="0.25">
      <c r="A1093" s="13">
        <v>1074</v>
      </c>
    </row>
    <row r="1094" spans="1:1" s="2" customFormat="1" x14ac:dyDescent="0.25">
      <c r="A1094" s="13">
        <v>1075</v>
      </c>
    </row>
    <row r="1095" spans="1:1" s="2" customFormat="1" x14ac:dyDescent="0.25">
      <c r="A1095" s="13">
        <v>1076</v>
      </c>
    </row>
    <row r="1096" spans="1:1" s="2" customFormat="1" x14ac:dyDescent="0.25">
      <c r="A1096" s="13">
        <v>1077</v>
      </c>
    </row>
    <row r="1097" spans="1:1" s="2" customFormat="1" x14ac:dyDescent="0.25">
      <c r="A1097" s="13">
        <v>1078</v>
      </c>
    </row>
    <row r="1098" spans="1:1" s="2" customFormat="1" x14ac:dyDescent="0.25">
      <c r="A1098" s="13">
        <v>1079</v>
      </c>
    </row>
    <row r="1099" spans="1:1" s="2" customFormat="1" x14ac:dyDescent="0.25">
      <c r="A1099" s="13">
        <v>1080</v>
      </c>
    </row>
    <row r="1100" spans="1:1" s="2" customFormat="1" x14ac:dyDescent="0.25">
      <c r="A1100" s="13">
        <v>1081</v>
      </c>
    </row>
    <row r="1101" spans="1:1" s="2" customFormat="1" x14ac:dyDescent="0.25">
      <c r="A1101" s="13">
        <v>1082</v>
      </c>
    </row>
    <row r="1102" spans="1:1" s="2" customFormat="1" x14ac:dyDescent="0.25">
      <c r="A1102" s="13">
        <v>1083</v>
      </c>
    </row>
    <row r="1103" spans="1:1" s="2" customFormat="1" x14ac:dyDescent="0.25">
      <c r="A1103" s="13">
        <v>1084</v>
      </c>
    </row>
    <row r="1104" spans="1:1" s="2" customFormat="1" x14ac:dyDescent="0.25">
      <c r="A1104" s="13">
        <v>1085</v>
      </c>
    </row>
    <row r="1105" spans="1:1" s="2" customFormat="1" x14ac:dyDescent="0.25">
      <c r="A1105" s="13">
        <v>1086</v>
      </c>
    </row>
    <row r="1106" spans="1:1" s="2" customFormat="1" x14ac:dyDescent="0.25">
      <c r="A1106" s="13">
        <v>1087</v>
      </c>
    </row>
    <row r="1107" spans="1:1" s="2" customFormat="1" x14ac:dyDescent="0.25">
      <c r="A1107" s="13">
        <v>1088</v>
      </c>
    </row>
    <row r="1108" spans="1:1" s="2" customFormat="1" x14ac:dyDescent="0.25">
      <c r="A1108" s="13">
        <v>1089</v>
      </c>
    </row>
    <row r="1109" spans="1:1" s="2" customFormat="1" x14ac:dyDescent="0.25">
      <c r="A1109" s="13">
        <v>1090</v>
      </c>
    </row>
    <row r="1110" spans="1:1" s="2" customFormat="1" x14ac:dyDescent="0.25">
      <c r="A1110" s="13">
        <v>1091</v>
      </c>
    </row>
    <row r="1111" spans="1:1" s="2" customFormat="1" x14ac:dyDescent="0.25">
      <c r="A1111" s="13">
        <v>1092</v>
      </c>
    </row>
    <row r="1112" spans="1:1" s="2" customFormat="1" x14ac:dyDescent="0.25">
      <c r="A1112" s="13">
        <v>1093</v>
      </c>
    </row>
    <row r="1113" spans="1:1" s="2" customFormat="1" x14ac:dyDescent="0.25">
      <c r="A1113" s="13">
        <v>1094</v>
      </c>
    </row>
    <row r="1114" spans="1:1" s="2" customFormat="1" x14ac:dyDescent="0.25">
      <c r="A1114" s="13">
        <v>1095</v>
      </c>
    </row>
    <row r="1115" spans="1:1" s="2" customFormat="1" x14ac:dyDescent="0.25">
      <c r="A1115" s="13">
        <v>1096</v>
      </c>
    </row>
    <row r="1116" spans="1:1" s="2" customFormat="1" x14ac:dyDescent="0.25">
      <c r="A1116" s="13">
        <v>1097</v>
      </c>
    </row>
    <row r="1117" spans="1:1" s="2" customFormat="1" x14ac:dyDescent="0.25">
      <c r="A1117" s="13">
        <v>1098</v>
      </c>
    </row>
    <row r="1118" spans="1:1" s="2" customFormat="1" x14ac:dyDescent="0.25">
      <c r="A1118" s="13">
        <v>1099</v>
      </c>
    </row>
    <row r="1119" spans="1:1" s="2" customFormat="1" x14ac:dyDescent="0.25">
      <c r="A1119" s="13">
        <v>1100</v>
      </c>
    </row>
    <row r="1120" spans="1:1" s="2" customFormat="1" x14ac:dyDescent="0.25">
      <c r="A1120" s="13">
        <v>1101</v>
      </c>
    </row>
    <row r="1121" spans="1:1" s="2" customFormat="1" x14ac:dyDescent="0.25">
      <c r="A1121" s="13">
        <v>1102</v>
      </c>
    </row>
    <row r="1122" spans="1:1" s="2" customFormat="1" x14ac:dyDescent="0.25">
      <c r="A1122" s="13">
        <v>1103</v>
      </c>
    </row>
    <row r="1123" spans="1:1" s="2" customFormat="1" x14ac:dyDescent="0.25">
      <c r="A1123" s="13">
        <v>1104</v>
      </c>
    </row>
    <row r="1124" spans="1:1" s="2" customFormat="1" x14ac:dyDescent="0.25">
      <c r="A1124" s="13">
        <v>1105</v>
      </c>
    </row>
    <row r="1125" spans="1:1" s="2" customFormat="1" x14ac:dyDescent="0.25">
      <c r="A1125" s="13">
        <v>1106</v>
      </c>
    </row>
    <row r="1126" spans="1:1" s="2" customFormat="1" x14ac:dyDescent="0.25">
      <c r="A1126" s="13">
        <v>1107</v>
      </c>
    </row>
    <row r="1127" spans="1:1" s="2" customFormat="1" x14ac:dyDescent="0.25">
      <c r="A1127" s="13">
        <v>1108</v>
      </c>
    </row>
    <row r="1128" spans="1:1" s="2" customFormat="1" x14ac:dyDescent="0.25">
      <c r="A1128" s="13">
        <v>1109</v>
      </c>
    </row>
    <row r="1129" spans="1:1" s="2" customFormat="1" x14ac:dyDescent="0.25">
      <c r="A1129" s="13">
        <v>1110</v>
      </c>
    </row>
    <row r="1130" spans="1:1" s="2" customFormat="1" x14ac:dyDescent="0.25">
      <c r="A1130" s="13">
        <v>1111</v>
      </c>
    </row>
    <row r="1131" spans="1:1" s="2" customFormat="1" x14ac:dyDescent="0.25">
      <c r="A1131" s="13">
        <v>1112</v>
      </c>
    </row>
    <row r="1132" spans="1:1" s="2" customFormat="1" x14ac:dyDescent="0.25">
      <c r="A1132" s="13">
        <v>1113</v>
      </c>
    </row>
    <row r="1133" spans="1:1" s="2" customFormat="1" x14ac:dyDescent="0.25">
      <c r="A1133" s="13">
        <v>1114</v>
      </c>
    </row>
    <row r="1134" spans="1:1" s="2" customFormat="1" x14ac:dyDescent="0.25">
      <c r="A1134" s="13">
        <v>1115</v>
      </c>
    </row>
    <row r="1135" spans="1:1" s="2" customFormat="1" x14ac:dyDescent="0.25">
      <c r="A1135" s="13">
        <v>1116</v>
      </c>
    </row>
    <row r="1136" spans="1:1" s="2" customFormat="1" x14ac:dyDescent="0.25">
      <c r="A1136" s="13">
        <v>1117</v>
      </c>
    </row>
    <row r="1137" spans="1:1" s="2" customFormat="1" x14ac:dyDescent="0.25">
      <c r="A1137" s="13">
        <v>1118</v>
      </c>
    </row>
    <row r="1138" spans="1:1" s="2" customFormat="1" x14ac:dyDescent="0.25">
      <c r="A1138" s="13">
        <v>1119</v>
      </c>
    </row>
    <row r="1139" spans="1:1" s="2" customFormat="1" x14ac:dyDescent="0.25">
      <c r="A1139" s="13">
        <v>1120</v>
      </c>
    </row>
    <row r="1140" spans="1:1" s="2" customFormat="1" x14ac:dyDescent="0.25">
      <c r="A1140" s="13">
        <v>1121</v>
      </c>
    </row>
    <row r="1141" spans="1:1" s="2" customFormat="1" x14ac:dyDescent="0.25">
      <c r="A1141" s="13">
        <v>1122</v>
      </c>
    </row>
    <row r="1142" spans="1:1" s="2" customFormat="1" x14ac:dyDescent="0.25">
      <c r="A1142" s="13">
        <v>1123</v>
      </c>
    </row>
    <row r="1143" spans="1:1" s="2" customFormat="1" x14ac:dyDescent="0.25">
      <c r="A1143" s="13">
        <v>1124</v>
      </c>
    </row>
    <row r="1144" spans="1:1" s="2" customFormat="1" x14ac:dyDescent="0.25">
      <c r="A1144" s="13">
        <v>1125</v>
      </c>
    </row>
    <row r="1145" spans="1:1" s="2" customFormat="1" x14ac:dyDescent="0.25">
      <c r="A1145" s="13">
        <v>1126</v>
      </c>
    </row>
    <row r="1146" spans="1:1" s="2" customFormat="1" x14ac:dyDescent="0.25">
      <c r="A1146" s="13">
        <v>1127</v>
      </c>
    </row>
    <row r="1147" spans="1:1" s="2" customFormat="1" x14ac:dyDescent="0.25">
      <c r="A1147" s="13">
        <v>1128</v>
      </c>
    </row>
    <row r="1148" spans="1:1" s="2" customFormat="1" x14ac:dyDescent="0.25">
      <c r="A1148" s="13">
        <v>1129</v>
      </c>
    </row>
    <row r="1149" spans="1:1" s="2" customFormat="1" x14ac:dyDescent="0.25">
      <c r="A1149" s="13">
        <v>1130</v>
      </c>
    </row>
    <row r="1150" spans="1:1" s="2" customFormat="1" x14ac:dyDescent="0.25">
      <c r="A1150" s="13">
        <v>1131</v>
      </c>
    </row>
    <row r="1151" spans="1:1" s="2" customFormat="1" x14ac:dyDescent="0.25">
      <c r="A1151" s="13">
        <v>1132</v>
      </c>
    </row>
    <row r="1152" spans="1:1" s="2" customFormat="1" x14ac:dyDescent="0.25">
      <c r="A1152" s="13">
        <v>1133</v>
      </c>
    </row>
    <row r="1153" spans="1:1" s="2" customFormat="1" x14ac:dyDescent="0.25">
      <c r="A1153" s="13">
        <v>1134</v>
      </c>
    </row>
    <row r="1154" spans="1:1" s="2" customFormat="1" x14ac:dyDescent="0.25">
      <c r="A1154" s="13">
        <v>1135</v>
      </c>
    </row>
    <row r="1155" spans="1:1" s="2" customFormat="1" x14ac:dyDescent="0.25">
      <c r="A1155" s="13">
        <v>1136</v>
      </c>
    </row>
    <row r="1156" spans="1:1" s="2" customFormat="1" x14ac:dyDescent="0.25">
      <c r="A1156" s="13">
        <v>1137</v>
      </c>
    </row>
    <row r="1157" spans="1:1" s="2" customFormat="1" x14ac:dyDescent="0.25">
      <c r="A1157" s="13">
        <v>1138</v>
      </c>
    </row>
    <row r="1158" spans="1:1" s="2" customFormat="1" x14ac:dyDescent="0.25">
      <c r="A1158" s="13">
        <v>1139</v>
      </c>
    </row>
    <row r="1159" spans="1:1" s="2" customFormat="1" x14ac:dyDescent="0.25">
      <c r="A1159" s="13">
        <v>1140</v>
      </c>
    </row>
    <row r="1160" spans="1:1" s="2" customFormat="1" x14ac:dyDescent="0.25">
      <c r="A1160" s="13">
        <v>1141</v>
      </c>
    </row>
    <row r="1161" spans="1:1" s="2" customFormat="1" x14ac:dyDescent="0.25">
      <c r="A1161" s="13">
        <v>1142</v>
      </c>
    </row>
    <row r="1162" spans="1:1" s="2" customFormat="1" x14ac:dyDescent="0.25">
      <c r="A1162" s="13">
        <v>1143</v>
      </c>
    </row>
    <row r="1163" spans="1:1" s="2" customFormat="1" x14ac:dyDescent="0.25">
      <c r="A1163" s="13">
        <v>1144</v>
      </c>
    </row>
    <row r="1164" spans="1:1" s="2" customFormat="1" x14ac:dyDescent="0.25">
      <c r="A1164" s="13">
        <v>1145</v>
      </c>
    </row>
    <row r="1165" spans="1:1" s="2" customFormat="1" x14ac:dyDescent="0.25">
      <c r="A1165" s="13">
        <v>1146</v>
      </c>
    </row>
    <row r="1166" spans="1:1" s="2" customFormat="1" x14ac:dyDescent="0.25">
      <c r="A1166" s="13">
        <v>1147</v>
      </c>
    </row>
    <row r="1167" spans="1:1" s="2" customFormat="1" x14ac:dyDescent="0.25">
      <c r="A1167" s="13">
        <v>1148</v>
      </c>
    </row>
    <row r="1168" spans="1:1" s="2" customFormat="1" x14ac:dyDescent="0.25">
      <c r="A1168" s="13">
        <v>1149</v>
      </c>
    </row>
    <row r="1169" spans="1:1" s="2" customFormat="1" x14ac:dyDescent="0.25">
      <c r="A1169" s="13">
        <v>1150</v>
      </c>
    </row>
    <row r="1170" spans="1:1" s="2" customFormat="1" x14ac:dyDescent="0.25">
      <c r="A1170" s="13">
        <v>1151</v>
      </c>
    </row>
    <row r="1171" spans="1:1" s="2" customFormat="1" x14ac:dyDescent="0.25">
      <c r="A1171" s="13">
        <v>1152</v>
      </c>
    </row>
    <row r="1172" spans="1:1" s="2" customFormat="1" x14ac:dyDescent="0.25">
      <c r="A1172" s="13">
        <v>1153</v>
      </c>
    </row>
    <row r="1173" spans="1:1" s="2" customFormat="1" x14ac:dyDescent="0.25">
      <c r="A1173" s="13">
        <v>1154</v>
      </c>
    </row>
    <row r="1174" spans="1:1" s="2" customFormat="1" x14ac:dyDescent="0.25">
      <c r="A1174" s="13">
        <v>1155</v>
      </c>
    </row>
    <row r="1175" spans="1:1" s="2" customFormat="1" x14ac:dyDescent="0.25">
      <c r="A1175" s="13">
        <v>1156</v>
      </c>
    </row>
    <row r="1176" spans="1:1" s="2" customFormat="1" x14ac:dyDescent="0.25">
      <c r="A1176" s="13">
        <v>1157</v>
      </c>
    </row>
    <row r="1177" spans="1:1" s="2" customFormat="1" x14ac:dyDescent="0.25">
      <c r="A1177" s="13">
        <v>1158</v>
      </c>
    </row>
    <row r="1178" spans="1:1" s="2" customFormat="1" x14ac:dyDescent="0.25">
      <c r="A1178" s="13">
        <v>1159</v>
      </c>
    </row>
    <row r="1179" spans="1:1" s="2" customFormat="1" x14ac:dyDescent="0.25">
      <c r="A1179" s="13">
        <v>1160</v>
      </c>
    </row>
    <row r="1180" spans="1:1" s="2" customFormat="1" x14ac:dyDescent="0.25">
      <c r="A1180" s="13">
        <v>1161</v>
      </c>
    </row>
    <row r="1181" spans="1:1" s="2" customFormat="1" x14ac:dyDescent="0.25">
      <c r="A1181" s="13">
        <v>1162</v>
      </c>
    </row>
    <row r="1182" spans="1:1" s="2" customFormat="1" x14ac:dyDescent="0.25">
      <c r="A1182" s="13">
        <v>1163</v>
      </c>
    </row>
    <row r="1183" spans="1:1" s="2" customFormat="1" x14ac:dyDescent="0.25">
      <c r="A1183" s="13">
        <v>1164</v>
      </c>
    </row>
    <row r="1184" spans="1:1" s="2" customFormat="1" x14ac:dyDescent="0.25">
      <c r="A1184" s="13">
        <v>1165</v>
      </c>
    </row>
    <row r="1185" spans="1:1" s="2" customFormat="1" x14ac:dyDescent="0.25">
      <c r="A1185" s="13">
        <v>1166</v>
      </c>
    </row>
    <row r="1186" spans="1:1" s="2" customFormat="1" x14ac:dyDescent="0.25">
      <c r="A1186" s="13">
        <v>1167</v>
      </c>
    </row>
    <row r="1187" spans="1:1" s="2" customFormat="1" x14ac:dyDescent="0.25">
      <c r="A1187" s="13">
        <v>1168</v>
      </c>
    </row>
    <row r="1188" spans="1:1" s="2" customFormat="1" x14ac:dyDescent="0.25">
      <c r="A1188" s="13">
        <v>1169</v>
      </c>
    </row>
    <row r="1189" spans="1:1" s="2" customFormat="1" x14ac:dyDescent="0.25">
      <c r="A1189" s="13">
        <v>1170</v>
      </c>
    </row>
    <row r="1190" spans="1:1" s="2" customFormat="1" x14ac:dyDescent="0.25">
      <c r="A1190" s="13">
        <v>1171</v>
      </c>
    </row>
    <row r="1191" spans="1:1" s="2" customFormat="1" x14ac:dyDescent="0.25">
      <c r="A1191" s="13">
        <v>1172</v>
      </c>
    </row>
    <row r="1192" spans="1:1" s="2" customFormat="1" x14ac:dyDescent="0.25">
      <c r="A1192" s="13">
        <v>1173</v>
      </c>
    </row>
    <row r="1193" spans="1:1" s="2" customFormat="1" x14ac:dyDescent="0.25">
      <c r="A1193" s="13">
        <v>1174</v>
      </c>
    </row>
    <row r="1194" spans="1:1" s="2" customFormat="1" x14ac:dyDescent="0.25">
      <c r="A1194" s="13">
        <v>1175</v>
      </c>
    </row>
    <row r="1195" spans="1:1" s="2" customFormat="1" x14ac:dyDescent="0.25">
      <c r="A1195" s="13">
        <v>1176</v>
      </c>
    </row>
    <row r="1196" spans="1:1" s="2" customFormat="1" x14ac:dyDescent="0.25">
      <c r="A1196" s="13">
        <v>1177</v>
      </c>
    </row>
    <row r="1197" spans="1:1" s="2" customFormat="1" x14ac:dyDescent="0.25">
      <c r="A1197" s="13">
        <v>1178</v>
      </c>
    </row>
    <row r="1198" spans="1:1" s="2" customFormat="1" x14ac:dyDescent="0.25">
      <c r="A1198" s="13">
        <v>1179</v>
      </c>
    </row>
    <row r="1199" spans="1:1" s="2" customFormat="1" x14ac:dyDescent="0.25">
      <c r="A1199" s="13">
        <v>1180</v>
      </c>
    </row>
    <row r="1200" spans="1:1" s="2" customFormat="1" x14ac:dyDescent="0.25">
      <c r="A1200" s="13">
        <v>1181</v>
      </c>
    </row>
    <row r="1201" spans="1:1" s="2" customFormat="1" x14ac:dyDescent="0.25">
      <c r="A1201" s="13">
        <v>1182</v>
      </c>
    </row>
    <row r="1202" spans="1:1" s="2" customFormat="1" x14ac:dyDescent="0.25">
      <c r="A1202" s="13">
        <v>1183</v>
      </c>
    </row>
    <row r="1203" spans="1:1" s="2" customFormat="1" x14ac:dyDescent="0.25">
      <c r="A1203" s="13">
        <v>1184</v>
      </c>
    </row>
    <row r="1204" spans="1:1" s="2" customFormat="1" x14ac:dyDescent="0.25">
      <c r="A1204" s="13">
        <v>1185</v>
      </c>
    </row>
    <row r="1205" spans="1:1" s="2" customFormat="1" x14ac:dyDescent="0.25">
      <c r="A1205" s="13">
        <v>1186</v>
      </c>
    </row>
    <row r="1206" spans="1:1" s="2" customFormat="1" x14ac:dyDescent="0.25">
      <c r="A1206" s="13">
        <v>1187</v>
      </c>
    </row>
    <row r="1207" spans="1:1" s="2" customFormat="1" x14ac:dyDescent="0.25">
      <c r="A1207" s="13">
        <v>1188</v>
      </c>
    </row>
    <row r="1208" spans="1:1" s="2" customFormat="1" x14ac:dyDescent="0.25">
      <c r="A1208" s="13">
        <v>1189</v>
      </c>
    </row>
    <row r="1209" spans="1:1" s="2" customFormat="1" x14ac:dyDescent="0.25">
      <c r="A1209" s="13">
        <v>1190</v>
      </c>
    </row>
    <row r="1210" spans="1:1" s="2" customFormat="1" x14ac:dyDescent="0.25">
      <c r="A1210" s="13">
        <v>1191</v>
      </c>
    </row>
    <row r="1211" spans="1:1" s="2" customFormat="1" x14ac:dyDescent="0.25">
      <c r="A1211" s="13">
        <v>1192</v>
      </c>
    </row>
    <row r="1212" spans="1:1" s="2" customFormat="1" x14ac:dyDescent="0.25">
      <c r="A1212" s="13">
        <v>1193</v>
      </c>
    </row>
    <row r="1213" spans="1:1" s="2" customFormat="1" x14ac:dyDescent="0.25">
      <c r="A1213" s="13">
        <v>1194</v>
      </c>
    </row>
    <row r="1214" spans="1:1" s="2" customFormat="1" x14ac:dyDescent="0.25">
      <c r="A1214" s="13">
        <v>1195</v>
      </c>
    </row>
    <row r="1215" spans="1:1" s="2" customFormat="1" x14ac:dyDescent="0.25">
      <c r="A1215" s="13">
        <v>1196</v>
      </c>
    </row>
    <row r="1216" spans="1:1" s="2" customFormat="1" x14ac:dyDescent="0.25">
      <c r="A1216" s="13">
        <v>1197</v>
      </c>
    </row>
    <row r="1217" spans="1:1" s="2" customFormat="1" x14ac:dyDescent="0.25">
      <c r="A1217" s="13">
        <v>1198</v>
      </c>
    </row>
    <row r="1218" spans="1:1" s="2" customFormat="1" x14ac:dyDescent="0.25">
      <c r="A1218" s="13">
        <v>1199</v>
      </c>
    </row>
    <row r="1219" spans="1:1" s="2" customFormat="1" x14ac:dyDescent="0.25">
      <c r="A1219" s="13">
        <v>1200</v>
      </c>
    </row>
    <row r="1220" spans="1:1" s="2" customFormat="1" x14ac:dyDescent="0.25">
      <c r="A1220" s="13">
        <v>1201</v>
      </c>
    </row>
    <row r="1221" spans="1:1" s="2" customFormat="1" x14ac:dyDescent="0.25">
      <c r="A1221" s="13">
        <v>1202</v>
      </c>
    </row>
    <row r="1222" spans="1:1" s="2" customFormat="1" x14ac:dyDescent="0.25">
      <c r="A1222" s="13">
        <v>1203</v>
      </c>
    </row>
    <row r="1223" spans="1:1" s="2" customFormat="1" x14ac:dyDescent="0.25">
      <c r="A1223" s="13">
        <v>1204</v>
      </c>
    </row>
    <row r="1224" spans="1:1" s="2" customFormat="1" x14ac:dyDescent="0.25">
      <c r="A1224" s="13">
        <v>1205</v>
      </c>
    </row>
    <row r="1225" spans="1:1" s="2" customFormat="1" x14ac:dyDescent="0.25">
      <c r="A1225" s="13">
        <v>1206</v>
      </c>
    </row>
    <row r="1226" spans="1:1" s="2" customFormat="1" x14ac:dyDescent="0.25">
      <c r="A1226" s="13">
        <v>1207</v>
      </c>
    </row>
    <row r="1227" spans="1:1" s="2" customFormat="1" x14ac:dyDescent="0.25">
      <c r="A1227" s="13">
        <v>1208</v>
      </c>
    </row>
    <row r="1228" spans="1:1" s="2" customFormat="1" x14ac:dyDescent="0.25">
      <c r="A1228" s="13">
        <v>1209</v>
      </c>
    </row>
    <row r="1229" spans="1:1" s="2" customFormat="1" x14ac:dyDescent="0.25">
      <c r="A1229" s="13">
        <v>1210</v>
      </c>
    </row>
    <row r="1230" spans="1:1" s="2" customFormat="1" x14ac:dyDescent="0.25">
      <c r="A1230" s="13">
        <v>1211</v>
      </c>
    </row>
    <row r="1231" spans="1:1" s="2" customFormat="1" x14ac:dyDescent="0.25">
      <c r="A1231" s="13">
        <v>1212</v>
      </c>
    </row>
    <row r="1232" spans="1:1" s="2" customFormat="1" x14ac:dyDescent="0.25">
      <c r="A1232" s="13">
        <v>1213</v>
      </c>
    </row>
    <row r="1233" spans="1:1" s="2" customFormat="1" x14ac:dyDescent="0.25">
      <c r="A1233" s="13">
        <v>1214</v>
      </c>
    </row>
    <row r="1234" spans="1:1" s="2" customFormat="1" x14ac:dyDescent="0.25">
      <c r="A1234" s="13">
        <v>1215</v>
      </c>
    </row>
    <row r="1235" spans="1:1" s="2" customFormat="1" x14ac:dyDescent="0.25">
      <c r="A1235" s="13">
        <v>1216</v>
      </c>
    </row>
    <row r="1236" spans="1:1" s="2" customFormat="1" x14ac:dyDescent="0.25">
      <c r="A1236" s="13">
        <v>1217</v>
      </c>
    </row>
    <row r="1237" spans="1:1" s="2" customFormat="1" x14ac:dyDescent="0.25">
      <c r="A1237" s="13">
        <v>1218</v>
      </c>
    </row>
    <row r="1238" spans="1:1" s="2" customFormat="1" x14ac:dyDescent="0.25">
      <c r="A1238" s="13">
        <v>1219</v>
      </c>
    </row>
    <row r="1239" spans="1:1" s="2" customFormat="1" x14ac:dyDescent="0.25">
      <c r="A1239" s="13">
        <v>1220</v>
      </c>
    </row>
    <row r="1240" spans="1:1" s="2" customFormat="1" x14ac:dyDescent="0.25">
      <c r="A1240" s="13">
        <v>1221</v>
      </c>
    </row>
    <row r="1241" spans="1:1" s="2" customFormat="1" x14ac:dyDescent="0.25">
      <c r="A1241" s="13">
        <v>1222</v>
      </c>
    </row>
    <row r="1242" spans="1:1" s="2" customFormat="1" x14ac:dyDescent="0.25">
      <c r="A1242" s="13">
        <v>1223</v>
      </c>
    </row>
    <row r="1243" spans="1:1" s="2" customFormat="1" x14ac:dyDescent="0.25">
      <c r="A1243" s="13">
        <v>1224</v>
      </c>
    </row>
    <row r="1244" spans="1:1" s="2" customFormat="1" x14ac:dyDescent="0.25">
      <c r="A1244" s="13">
        <v>1225</v>
      </c>
    </row>
    <row r="1245" spans="1:1" s="2" customFormat="1" x14ac:dyDescent="0.25">
      <c r="A1245" s="13">
        <v>1226</v>
      </c>
    </row>
    <row r="1246" spans="1:1" s="2" customFormat="1" x14ac:dyDescent="0.25">
      <c r="A1246" s="13">
        <v>1227</v>
      </c>
    </row>
    <row r="1247" spans="1:1" s="2" customFormat="1" x14ac:dyDescent="0.25">
      <c r="A1247" s="13">
        <v>1228</v>
      </c>
    </row>
    <row r="1248" spans="1:1" s="2" customFormat="1" x14ac:dyDescent="0.25">
      <c r="A1248" s="13">
        <v>1229</v>
      </c>
    </row>
    <row r="1249" spans="1:1" s="2" customFormat="1" x14ac:dyDescent="0.25">
      <c r="A1249" s="13">
        <v>1230</v>
      </c>
    </row>
    <row r="1250" spans="1:1" s="2" customFormat="1" x14ac:dyDescent="0.25">
      <c r="A1250" s="13">
        <v>1231</v>
      </c>
    </row>
    <row r="1251" spans="1:1" s="2" customFormat="1" x14ac:dyDescent="0.25">
      <c r="A1251" s="13">
        <v>1232</v>
      </c>
    </row>
    <row r="1252" spans="1:1" s="2" customFormat="1" x14ac:dyDescent="0.25">
      <c r="A1252" s="13">
        <v>1233</v>
      </c>
    </row>
    <row r="1253" spans="1:1" s="2" customFormat="1" x14ac:dyDescent="0.25">
      <c r="A1253" s="13">
        <v>1234</v>
      </c>
    </row>
    <row r="1254" spans="1:1" s="2" customFormat="1" x14ac:dyDescent="0.25">
      <c r="A1254" s="13">
        <v>1235</v>
      </c>
    </row>
    <row r="1255" spans="1:1" s="2" customFormat="1" x14ac:dyDescent="0.25">
      <c r="A1255" s="13">
        <v>1236</v>
      </c>
    </row>
    <row r="1256" spans="1:1" s="2" customFormat="1" x14ac:dyDescent="0.25">
      <c r="A1256" s="13">
        <v>1237</v>
      </c>
    </row>
    <row r="1257" spans="1:1" s="2" customFormat="1" x14ac:dyDescent="0.25">
      <c r="A1257" s="13">
        <v>1238</v>
      </c>
    </row>
    <row r="1258" spans="1:1" s="2" customFormat="1" x14ac:dyDescent="0.25">
      <c r="A1258" s="13">
        <v>1239</v>
      </c>
    </row>
    <row r="1259" spans="1:1" s="2" customFormat="1" x14ac:dyDescent="0.25">
      <c r="A1259" s="13">
        <v>1240</v>
      </c>
    </row>
    <row r="1260" spans="1:1" s="2" customFormat="1" x14ac:dyDescent="0.25">
      <c r="A1260" s="13">
        <v>1241</v>
      </c>
    </row>
    <row r="1261" spans="1:1" s="2" customFormat="1" x14ac:dyDescent="0.25">
      <c r="A1261" s="13">
        <v>1242</v>
      </c>
    </row>
    <row r="1262" spans="1:1" s="2" customFormat="1" x14ac:dyDescent="0.25">
      <c r="A1262" s="13">
        <v>1243</v>
      </c>
    </row>
    <row r="1263" spans="1:1" s="2" customFormat="1" x14ac:dyDescent="0.25">
      <c r="A1263" s="13">
        <v>1244</v>
      </c>
    </row>
    <row r="1264" spans="1:1" s="2" customFormat="1" x14ac:dyDescent="0.25">
      <c r="A1264" s="13">
        <v>1245</v>
      </c>
    </row>
    <row r="1265" spans="1:1" s="2" customFormat="1" x14ac:dyDescent="0.25">
      <c r="A1265" s="13">
        <v>1246</v>
      </c>
    </row>
    <row r="1266" spans="1:1" s="2" customFormat="1" x14ac:dyDescent="0.25">
      <c r="A1266" s="13">
        <v>1247</v>
      </c>
    </row>
    <row r="1267" spans="1:1" s="2" customFormat="1" x14ac:dyDescent="0.25">
      <c r="A1267" s="13">
        <v>1248</v>
      </c>
    </row>
    <row r="1268" spans="1:1" s="2" customFormat="1" x14ac:dyDescent="0.25">
      <c r="A1268" s="13">
        <v>1249</v>
      </c>
    </row>
    <row r="1269" spans="1:1" s="2" customFormat="1" x14ac:dyDescent="0.25">
      <c r="A1269" s="13">
        <v>1250</v>
      </c>
    </row>
    <row r="1270" spans="1:1" s="2" customFormat="1" x14ac:dyDescent="0.25">
      <c r="A1270" s="13">
        <v>1251</v>
      </c>
    </row>
    <row r="1271" spans="1:1" s="2" customFormat="1" x14ac:dyDescent="0.25">
      <c r="A1271" s="13">
        <v>1252</v>
      </c>
    </row>
    <row r="1272" spans="1:1" s="2" customFormat="1" x14ac:dyDescent="0.25">
      <c r="A1272" s="13">
        <v>1253</v>
      </c>
    </row>
    <row r="1273" spans="1:1" s="2" customFormat="1" x14ac:dyDescent="0.25">
      <c r="A1273" s="13">
        <v>1254</v>
      </c>
    </row>
    <row r="1274" spans="1:1" s="2" customFormat="1" x14ac:dyDescent="0.25">
      <c r="A1274" s="13">
        <v>1255</v>
      </c>
    </row>
    <row r="1275" spans="1:1" s="2" customFormat="1" x14ac:dyDescent="0.25">
      <c r="A1275" s="13">
        <v>1256</v>
      </c>
    </row>
    <row r="1276" spans="1:1" s="2" customFormat="1" x14ac:dyDescent="0.25">
      <c r="A1276" s="13">
        <v>1257</v>
      </c>
    </row>
    <row r="1277" spans="1:1" s="2" customFormat="1" x14ac:dyDescent="0.25">
      <c r="A1277" s="13">
        <v>1258</v>
      </c>
    </row>
    <row r="1278" spans="1:1" s="2" customFormat="1" x14ac:dyDescent="0.25">
      <c r="A1278" s="13">
        <v>1259</v>
      </c>
    </row>
    <row r="1279" spans="1:1" s="2" customFormat="1" x14ac:dyDescent="0.25">
      <c r="A1279" s="13">
        <v>1260</v>
      </c>
    </row>
    <row r="1280" spans="1:1" s="2" customFormat="1" x14ac:dyDescent="0.25">
      <c r="A1280" s="13">
        <v>1261</v>
      </c>
    </row>
    <row r="1281" spans="1:1" s="2" customFormat="1" x14ac:dyDescent="0.25">
      <c r="A1281" s="13">
        <v>1262</v>
      </c>
    </row>
    <row r="1282" spans="1:1" s="2" customFormat="1" x14ac:dyDescent="0.25">
      <c r="A1282" s="13">
        <v>1263</v>
      </c>
    </row>
    <row r="1283" spans="1:1" s="2" customFormat="1" x14ac:dyDescent="0.25">
      <c r="A1283" s="13">
        <v>1264</v>
      </c>
    </row>
    <row r="1284" spans="1:1" s="2" customFormat="1" x14ac:dyDescent="0.25">
      <c r="A1284" s="13">
        <v>1265</v>
      </c>
    </row>
    <row r="1285" spans="1:1" s="2" customFormat="1" x14ac:dyDescent="0.25">
      <c r="A1285" s="13">
        <v>1266</v>
      </c>
    </row>
    <row r="1286" spans="1:1" s="2" customFormat="1" x14ac:dyDescent="0.25">
      <c r="A1286" s="13">
        <v>1267</v>
      </c>
    </row>
    <row r="1287" spans="1:1" s="2" customFormat="1" x14ac:dyDescent="0.25">
      <c r="A1287" s="13">
        <v>1268</v>
      </c>
    </row>
    <row r="1288" spans="1:1" s="2" customFormat="1" x14ac:dyDescent="0.25">
      <c r="A1288" s="13">
        <v>1269</v>
      </c>
    </row>
    <row r="1289" spans="1:1" s="2" customFormat="1" x14ac:dyDescent="0.25">
      <c r="A1289" s="13">
        <v>1270</v>
      </c>
    </row>
    <row r="1290" spans="1:1" s="2" customFormat="1" x14ac:dyDescent="0.25">
      <c r="A1290" s="13">
        <v>1271</v>
      </c>
    </row>
    <row r="1291" spans="1:1" s="2" customFormat="1" x14ac:dyDescent="0.25">
      <c r="A1291" s="13">
        <v>1272</v>
      </c>
    </row>
    <row r="1292" spans="1:1" s="2" customFormat="1" x14ac:dyDescent="0.25">
      <c r="A1292" s="13">
        <v>1273</v>
      </c>
    </row>
    <row r="1293" spans="1:1" s="2" customFormat="1" x14ac:dyDescent="0.25">
      <c r="A1293" s="13">
        <v>1274</v>
      </c>
    </row>
    <row r="1294" spans="1:1" s="2" customFormat="1" x14ac:dyDescent="0.25">
      <c r="A1294" s="13">
        <v>1275</v>
      </c>
    </row>
    <row r="1295" spans="1:1" s="2" customFormat="1" x14ac:dyDescent="0.25">
      <c r="A1295" s="13">
        <v>1276</v>
      </c>
    </row>
    <row r="1296" spans="1:1" s="2" customFormat="1" x14ac:dyDescent="0.25">
      <c r="A1296" s="13">
        <v>1277</v>
      </c>
    </row>
    <row r="1297" spans="1:1" s="2" customFormat="1" x14ac:dyDescent="0.25">
      <c r="A1297" s="13">
        <v>1278</v>
      </c>
    </row>
    <row r="1298" spans="1:1" s="2" customFormat="1" x14ac:dyDescent="0.25">
      <c r="A1298" s="13">
        <v>1279</v>
      </c>
    </row>
    <row r="1299" spans="1:1" s="2" customFormat="1" x14ac:dyDescent="0.25">
      <c r="A1299" s="13">
        <v>1280</v>
      </c>
    </row>
    <row r="1300" spans="1:1" s="2" customFormat="1" x14ac:dyDescent="0.25">
      <c r="A1300" s="13">
        <v>1281</v>
      </c>
    </row>
    <row r="1301" spans="1:1" s="2" customFormat="1" x14ac:dyDescent="0.25">
      <c r="A1301" s="13">
        <v>1282</v>
      </c>
    </row>
    <row r="1302" spans="1:1" s="2" customFormat="1" x14ac:dyDescent="0.25">
      <c r="A1302" s="13">
        <v>1283</v>
      </c>
    </row>
    <row r="1303" spans="1:1" s="2" customFormat="1" x14ac:dyDescent="0.25">
      <c r="A1303" s="13">
        <v>1284</v>
      </c>
    </row>
    <row r="1304" spans="1:1" s="2" customFormat="1" x14ac:dyDescent="0.25">
      <c r="A1304" s="13">
        <v>1285</v>
      </c>
    </row>
    <row r="1305" spans="1:1" s="2" customFormat="1" x14ac:dyDescent="0.25">
      <c r="A1305" s="13">
        <v>1286</v>
      </c>
    </row>
    <row r="1306" spans="1:1" s="2" customFormat="1" x14ac:dyDescent="0.25">
      <c r="A1306" s="13">
        <v>1287</v>
      </c>
    </row>
    <row r="1307" spans="1:1" s="2" customFormat="1" x14ac:dyDescent="0.25">
      <c r="A1307" s="13">
        <v>1288</v>
      </c>
    </row>
    <row r="1308" spans="1:1" s="2" customFormat="1" x14ac:dyDescent="0.25">
      <c r="A1308" s="13">
        <v>1289</v>
      </c>
    </row>
    <row r="1309" spans="1:1" s="2" customFormat="1" x14ac:dyDescent="0.25">
      <c r="A1309" s="13">
        <v>1290</v>
      </c>
    </row>
    <row r="1310" spans="1:1" s="2" customFormat="1" x14ac:dyDescent="0.25">
      <c r="A1310" s="13">
        <v>1291</v>
      </c>
    </row>
    <row r="1311" spans="1:1" s="2" customFormat="1" x14ac:dyDescent="0.25">
      <c r="A1311" s="13">
        <v>1292</v>
      </c>
    </row>
    <row r="1312" spans="1:1" s="2" customFormat="1" x14ac:dyDescent="0.25">
      <c r="A1312" s="13">
        <v>1293</v>
      </c>
    </row>
    <row r="1313" spans="1:1" s="2" customFormat="1" x14ac:dyDescent="0.25">
      <c r="A1313" s="13">
        <v>1294</v>
      </c>
    </row>
    <row r="1314" spans="1:1" s="2" customFormat="1" x14ac:dyDescent="0.25">
      <c r="A1314" s="13">
        <v>1295</v>
      </c>
    </row>
    <row r="1315" spans="1:1" s="2" customFormat="1" x14ac:dyDescent="0.25">
      <c r="A1315" s="13">
        <v>1296</v>
      </c>
    </row>
    <row r="1316" spans="1:1" s="2" customFormat="1" x14ac:dyDescent="0.25">
      <c r="A1316" s="13">
        <v>1297</v>
      </c>
    </row>
    <row r="1317" spans="1:1" s="2" customFormat="1" x14ac:dyDescent="0.25">
      <c r="A1317" s="13">
        <v>1298</v>
      </c>
    </row>
    <row r="1318" spans="1:1" s="2" customFormat="1" x14ac:dyDescent="0.25">
      <c r="A1318" s="13">
        <v>1299</v>
      </c>
    </row>
    <row r="1319" spans="1:1" s="2" customFormat="1" x14ac:dyDescent="0.25">
      <c r="A1319" s="13">
        <v>1300</v>
      </c>
    </row>
    <row r="1320" spans="1:1" s="2" customFormat="1" x14ac:dyDescent="0.25">
      <c r="A1320" s="13">
        <v>1301</v>
      </c>
    </row>
    <row r="1321" spans="1:1" s="2" customFormat="1" x14ac:dyDescent="0.25">
      <c r="A1321" s="13">
        <v>1302</v>
      </c>
    </row>
    <row r="1322" spans="1:1" s="2" customFormat="1" x14ac:dyDescent="0.25">
      <c r="A1322" s="13">
        <v>1303</v>
      </c>
    </row>
    <row r="1323" spans="1:1" s="2" customFormat="1" x14ac:dyDescent="0.25">
      <c r="A1323" s="13">
        <v>1304</v>
      </c>
    </row>
    <row r="1324" spans="1:1" s="2" customFormat="1" x14ac:dyDescent="0.25">
      <c r="A1324" s="13">
        <v>1305</v>
      </c>
    </row>
    <row r="1325" spans="1:1" s="2" customFormat="1" x14ac:dyDescent="0.25">
      <c r="A1325" s="13">
        <v>1306</v>
      </c>
    </row>
    <row r="1326" spans="1:1" s="2" customFormat="1" x14ac:dyDescent="0.25">
      <c r="A1326" s="13">
        <v>1307</v>
      </c>
    </row>
    <row r="1327" spans="1:1" s="2" customFormat="1" x14ac:dyDescent="0.25">
      <c r="A1327" s="13">
        <v>1308</v>
      </c>
    </row>
    <row r="1328" spans="1:1" s="2" customFormat="1" x14ac:dyDescent="0.25">
      <c r="A1328" s="13">
        <v>1309</v>
      </c>
    </row>
    <row r="1329" spans="1:1" s="2" customFormat="1" x14ac:dyDescent="0.25">
      <c r="A1329" s="13">
        <v>1310</v>
      </c>
    </row>
    <row r="1330" spans="1:1" s="2" customFormat="1" x14ac:dyDescent="0.25">
      <c r="A1330" s="13">
        <v>1311</v>
      </c>
    </row>
    <row r="1331" spans="1:1" s="2" customFormat="1" x14ac:dyDescent="0.25">
      <c r="A1331" s="13">
        <v>1312</v>
      </c>
    </row>
    <row r="1332" spans="1:1" s="2" customFormat="1" x14ac:dyDescent="0.25">
      <c r="A1332" s="13">
        <v>1313</v>
      </c>
    </row>
    <row r="1333" spans="1:1" s="2" customFormat="1" x14ac:dyDescent="0.25">
      <c r="A1333" s="13">
        <v>1314</v>
      </c>
    </row>
    <row r="1334" spans="1:1" s="2" customFormat="1" x14ac:dyDescent="0.25">
      <c r="A1334" s="13">
        <v>1315</v>
      </c>
    </row>
    <row r="1335" spans="1:1" s="2" customFormat="1" x14ac:dyDescent="0.25">
      <c r="A1335" s="13">
        <v>1316</v>
      </c>
    </row>
    <row r="1336" spans="1:1" s="2" customFormat="1" x14ac:dyDescent="0.25">
      <c r="A1336" s="13">
        <v>1317</v>
      </c>
    </row>
    <row r="1337" spans="1:1" s="2" customFormat="1" x14ac:dyDescent="0.25">
      <c r="A1337" s="13">
        <v>1318</v>
      </c>
    </row>
    <row r="1338" spans="1:1" s="2" customFormat="1" x14ac:dyDescent="0.25">
      <c r="A1338" s="13">
        <v>1319</v>
      </c>
    </row>
    <row r="1339" spans="1:1" s="2" customFormat="1" x14ac:dyDescent="0.25">
      <c r="A1339" s="13">
        <v>1320</v>
      </c>
    </row>
    <row r="1340" spans="1:1" s="2" customFormat="1" x14ac:dyDescent="0.25">
      <c r="A1340" s="13">
        <v>1321</v>
      </c>
    </row>
    <row r="1341" spans="1:1" s="2" customFormat="1" x14ac:dyDescent="0.25">
      <c r="A1341" s="13">
        <v>1322</v>
      </c>
    </row>
    <row r="1342" spans="1:1" s="2" customFormat="1" x14ac:dyDescent="0.25">
      <c r="A1342" s="13">
        <v>1323</v>
      </c>
    </row>
    <row r="1343" spans="1:1" s="2" customFormat="1" x14ac:dyDescent="0.25">
      <c r="A1343" s="13">
        <v>1324</v>
      </c>
    </row>
    <row r="1344" spans="1:1" s="2" customFormat="1" x14ac:dyDescent="0.25">
      <c r="A1344" s="13">
        <v>1325</v>
      </c>
    </row>
    <row r="1345" spans="1:1" s="2" customFormat="1" x14ac:dyDescent="0.25">
      <c r="A1345" s="13">
        <v>1326</v>
      </c>
    </row>
    <row r="1346" spans="1:1" s="2" customFormat="1" x14ac:dyDescent="0.25">
      <c r="A1346" s="13">
        <v>1327</v>
      </c>
    </row>
    <row r="1347" spans="1:1" s="2" customFormat="1" x14ac:dyDescent="0.25">
      <c r="A1347" s="13">
        <v>1328</v>
      </c>
    </row>
    <row r="1348" spans="1:1" s="2" customFormat="1" x14ac:dyDescent="0.25">
      <c r="A1348" s="13">
        <v>1329</v>
      </c>
    </row>
    <row r="1349" spans="1:1" s="2" customFormat="1" x14ac:dyDescent="0.25">
      <c r="A1349" s="13">
        <v>1330</v>
      </c>
    </row>
    <row r="1350" spans="1:1" s="2" customFormat="1" x14ac:dyDescent="0.25">
      <c r="A1350" s="13">
        <v>1331</v>
      </c>
    </row>
    <row r="1351" spans="1:1" s="2" customFormat="1" x14ac:dyDescent="0.25">
      <c r="A1351" s="13">
        <v>1332</v>
      </c>
    </row>
    <row r="1352" spans="1:1" s="2" customFormat="1" x14ac:dyDescent="0.25">
      <c r="A1352" s="13">
        <v>1333</v>
      </c>
    </row>
    <row r="1353" spans="1:1" s="2" customFormat="1" x14ac:dyDescent="0.25">
      <c r="A1353" s="13">
        <v>1334</v>
      </c>
    </row>
    <row r="1354" spans="1:1" s="2" customFormat="1" x14ac:dyDescent="0.25">
      <c r="A1354" s="13">
        <v>1335</v>
      </c>
    </row>
    <row r="1355" spans="1:1" s="2" customFormat="1" x14ac:dyDescent="0.25">
      <c r="A1355" s="13">
        <v>1336</v>
      </c>
    </row>
    <row r="1356" spans="1:1" s="2" customFormat="1" x14ac:dyDescent="0.25">
      <c r="A1356" s="13">
        <v>1337</v>
      </c>
    </row>
    <row r="1357" spans="1:1" s="2" customFormat="1" x14ac:dyDescent="0.25">
      <c r="A1357" s="13">
        <v>1338</v>
      </c>
    </row>
    <row r="1358" spans="1:1" s="2" customFormat="1" x14ac:dyDescent="0.25">
      <c r="A1358" s="13">
        <v>1339</v>
      </c>
    </row>
    <row r="1359" spans="1:1" s="2" customFormat="1" x14ac:dyDescent="0.25">
      <c r="A1359" s="13">
        <v>1340</v>
      </c>
    </row>
    <row r="1360" spans="1:1" s="2" customFormat="1" x14ac:dyDescent="0.25">
      <c r="A1360" s="13">
        <v>1341</v>
      </c>
    </row>
    <row r="1361" spans="1:1" s="2" customFormat="1" x14ac:dyDescent="0.25">
      <c r="A1361" s="13">
        <v>1342</v>
      </c>
    </row>
    <row r="1362" spans="1:1" s="2" customFormat="1" x14ac:dyDescent="0.25">
      <c r="A1362" s="13">
        <v>1343</v>
      </c>
    </row>
    <row r="1363" spans="1:1" s="2" customFormat="1" x14ac:dyDescent="0.25">
      <c r="A1363" s="13">
        <v>1344</v>
      </c>
    </row>
    <row r="1364" spans="1:1" s="2" customFormat="1" x14ac:dyDescent="0.25">
      <c r="A1364" s="13">
        <v>1345</v>
      </c>
    </row>
    <row r="1365" spans="1:1" s="2" customFormat="1" x14ac:dyDescent="0.25">
      <c r="A1365" s="13">
        <v>1346</v>
      </c>
    </row>
    <row r="1366" spans="1:1" s="2" customFormat="1" x14ac:dyDescent="0.25">
      <c r="A1366" s="13">
        <v>1347</v>
      </c>
    </row>
    <row r="1367" spans="1:1" s="2" customFormat="1" x14ac:dyDescent="0.25">
      <c r="A1367" s="13">
        <v>1348</v>
      </c>
    </row>
    <row r="1368" spans="1:1" s="2" customFormat="1" x14ac:dyDescent="0.25">
      <c r="A1368" s="13">
        <v>1349</v>
      </c>
    </row>
    <row r="1369" spans="1:1" s="2" customFormat="1" x14ac:dyDescent="0.25">
      <c r="A1369" s="13">
        <v>1350</v>
      </c>
    </row>
    <row r="1370" spans="1:1" s="2" customFormat="1" x14ac:dyDescent="0.25">
      <c r="A1370" s="13">
        <v>1351</v>
      </c>
    </row>
    <row r="1371" spans="1:1" s="2" customFormat="1" x14ac:dyDescent="0.25">
      <c r="A1371" s="13">
        <v>1352</v>
      </c>
    </row>
    <row r="1372" spans="1:1" s="2" customFormat="1" x14ac:dyDescent="0.25">
      <c r="A1372" s="13">
        <v>1353</v>
      </c>
    </row>
    <row r="1373" spans="1:1" s="2" customFormat="1" x14ac:dyDescent="0.25">
      <c r="A1373" s="13">
        <v>1354</v>
      </c>
    </row>
    <row r="1374" spans="1:1" s="2" customFormat="1" x14ac:dyDescent="0.25">
      <c r="A1374" s="13">
        <v>1355</v>
      </c>
    </row>
    <row r="1375" spans="1:1" s="2" customFormat="1" x14ac:dyDescent="0.25">
      <c r="A1375" s="13">
        <v>1356</v>
      </c>
    </row>
    <row r="1376" spans="1:1" s="2" customFormat="1" x14ac:dyDescent="0.25">
      <c r="A1376" s="13">
        <v>1357</v>
      </c>
    </row>
    <row r="1377" spans="1:1" s="2" customFormat="1" x14ac:dyDescent="0.25">
      <c r="A1377" s="13">
        <v>1358</v>
      </c>
    </row>
    <row r="1378" spans="1:1" s="2" customFormat="1" x14ac:dyDescent="0.25">
      <c r="A1378" s="13">
        <v>1359</v>
      </c>
    </row>
    <row r="1379" spans="1:1" s="2" customFormat="1" x14ac:dyDescent="0.25">
      <c r="A1379" s="13">
        <v>1360</v>
      </c>
    </row>
    <row r="1380" spans="1:1" s="2" customFormat="1" x14ac:dyDescent="0.25">
      <c r="A1380" s="13">
        <v>1361</v>
      </c>
    </row>
    <row r="1381" spans="1:1" s="2" customFormat="1" x14ac:dyDescent="0.25">
      <c r="A1381" s="13">
        <v>1362</v>
      </c>
    </row>
    <row r="1382" spans="1:1" s="2" customFormat="1" x14ac:dyDescent="0.25">
      <c r="A1382" s="13">
        <v>1363</v>
      </c>
    </row>
    <row r="1383" spans="1:1" s="2" customFormat="1" x14ac:dyDescent="0.25">
      <c r="A1383" s="13">
        <v>1364</v>
      </c>
    </row>
    <row r="1384" spans="1:1" s="2" customFormat="1" x14ac:dyDescent="0.25">
      <c r="A1384" s="13">
        <v>1365</v>
      </c>
    </row>
    <row r="1385" spans="1:1" s="2" customFormat="1" x14ac:dyDescent="0.25">
      <c r="A1385" s="13">
        <v>1366</v>
      </c>
    </row>
    <row r="1386" spans="1:1" s="2" customFormat="1" x14ac:dyDescent="0.25">
      <c r="A1386" s="13">
        <v>1367</v>
      </c>
    </row>
    <row r="1387" spans="1:1" s="2" customFormat="1" x14ac:dyDescent="0.25">
      <c r="A1387" s="13">
        <v>1368</v>
      </c>
    </row>
    <row r="1388" spans="1:1" s="2" customFormat="1" x14ac:dyDescent="0.25">
      <c r="A1388" s="13">
        <v>1369</v>
      </c>
    </row>
    <row r="1389" spans="1:1" s="2" customFormat="1" x14ac:dyDescent="0.25">
      <c r="A1389" s="13">
        <v>1370</v>
      </c>
    </row>
    <row r="1390" spans="1:1" s="2" customFormat="1" x14ac:dyDescent="0.25">
      <c r="A1390" s="13">
        <v>1371</v>
      </c>
    </row>
    <row r="1391" spans="1:1" s="2" customFormat="1" x14ac:dyDescent="0.25">
      <c r="A1391" s="13">
        <v>1372</v>
      </c>
    </row>
    <row r="1392" spans="1:1" s="2" customFormat="1" x14ac:dyDescent="0.25">
      <c r="A1392" s="13">
        <v>1373</v>
      </c>
    </row>
    <row r="1393" spans="1:1" s="2" customFormat="1" x14ac:dyDescent="0.25">
      <c r="A1393" s="13">
        <v>1374</v>
      </c>
    </row>
    <row r="1394" spans="1:1" s="2" customFormat="1" x14ac:dyDescent="0.25">
      <c r="A1394" s="13">
        <v>1375</v>
      </c>
    </row>
    <row r="1395" spans="1:1" s="2" customFormat="1" x14ac:dyDescent="0.25">
      <c r="A1395" s="13">
        <v>1376</v>
      </c>
    </row>
    <row r="1396" spans="1:1" s="2" customFormat="1" x14ac:dyDescent="0.25">
      <c r="A1396" s="13">
        <v>1377</v>
      </c>
    </row>
    <row r="1397" spans="1:1" s="2" customFormat="1" x14ac:dyDescent="0.25">
      <c r="A1397" s="13">
        <v>1378</v>
      </c>
    </row>
    <row r="1398" spans="1:1" s="2" customFormat="1" x14ac:dyDescent="0.25">
      <c r="A1398" s="13">
        <v>1379</v>
      </c>
    </row>
    <row r="1399" spans="1:1" s="2" customFormat="1" x14ac:dyDescent="0.25">
      <c r="A1399" s="13">
        <v>1380</v>
      </c>
    </row>
    <row r="1400" spans="1:1" s="2" customFormat="1" x14ac:dyDescent="0.25">
      <c r="A1400" s="13">
        <v>1381</v>
      </c>
    </row>
    <row r="1401" spans="1:1" s="2" customFormat="1" x14ac:dyDescent="0.25">
      <c r="A1401" s="13">
        <v>1382</v>
      </c>
    </row>
    <row r="1402" spans="1:1" s="2" customFormat="1" x14ac:dyDescent="0.25">
      <c r="A1402" s="13">
        <v>1383</v>
      </c>
    </row>
    <row r="1403" spans="1:1" s="2" customFormat="1" x14ac:dyDescent="0.25">
      <c r="A1403" s="13">
        <v>1384</v>
      </c>
    </row>
    <row r="1404" spans="1:1" s="2" customFormat="1" x14ac:dyDescent="0.25">
      <c r="A1404" s="13">
        <v>1385</v>
      </c>
    </row>
    <row r="1405" spans="1:1" s="2" customFormat="1" x14ac:dyDescent="0.25">
      <c r="A1405" s="13">
        <v>1386</v>
      </c>
    </row>
    <row r="1406" spans="1:1" s="2" customFormat="1" x14ac:dyDescent="0.25">
      <c r="A1406" s="13">
        <v>1387</v>
      </c>
    </row>
    <row r="1407" spans="1:1" s="2" customFormat="1" x14ac:dyDescent="0.25">
      <c r="A1407" s="13">
        <v>1388</v>
      </c>
    </row>
    <row r="1408" spans="1:1" s="2" customFormat="1" x14ac:dyDescent="0.25">
      <c r="A1408" s="13">
        <v>1389</v>
      </c>
    </row>
    <row r="1409" spans="1:1" s="2" customFormat="1" x14ac:dyDescent="0.25">
      <c r="A1409" s="41">
        <v>1684</v>
      </c>
    </row>
    <row r="1410" spans="1:1" s="2" customFormat="1" x14ac:dyDescent="0.25">
      <c r="A1410" s="42">
        <v>1685</v>
      </c>
    </row>
    <row r="1411" spans="1:1" s="2" customFormat="1" x14ac:dyDescent="0.25">
      <c r="A1411" s="42">
        <v>1686</v>
      </c>
    </row>
    <row r="1412" spans="1:1" s="2" customFormat="1" x14ac:dyDescent="0.25">
      <c r="A1412" s="41">
        <v>1687</v>
      </c>
    </row>
    <row r="1413" spans="1:1" s="2" customFormat="1" x14ac:dyDescent="0.25">
      <c r="A1413" s="41">
        <v>1688</v>
      </c>
    </row>
    <row r="1414" spans="1:1" s="2" customFormat="1" x14ac:dyDescent="0.25">
      <c r="A1414" s="42">
        <v>1689</v>
      </c>
    </row>
    <row r="1415" spans="1:1" s="2" customFormat="1" x14ac:dyDescent="0.25">
      <c r="A1415" s="42">
        <v>1690</v>
      </c>
    </row>
    <row r="1416" spans="1:1" s="2" customFormat="1" x14ac:dyDescent="0.25">
      <c r="A1416" s="41">
        <v>1691</v>
      </c>
    </row>
    <row r="1417" spans="1:1" s="2" customFormat="1" x14ac:dyDescent="0.25">
      <c r="A1417" s="41">
        <v>1692</v>
      </c>
    </row>
    <row r="1418" spans="1:1" s="2" customFormat="1" x14ac:dyDescent="0.25">
      <c r="A1418" s="42">
        <v>1693</v>
      </c>
    </row>
    <row r="1419" spans="1:1" s="2" customFormat="1" x14ac:dyDescent="0.25">
      <c r="A1419" s="42">
        <v>1694</v>
      </c>
    </row>
    <row r="1420" spans="1:1" s="2" customFormat="1" x14ac:dyDescent="0.25">
      <c r="A1420" s="41">
        <v>1695</v>
      </c>
    </row>
    <row r="1421" spans="1:1" s="2" customFormat="1" x14ac:dyDescent="0.25">
      <c r="A1421" s="41">
        <v>1696</v>
      </c>
    </row>
    <row r="1422" spans="1:1" s="2" customFormat="1" x14ac:dyDescent="0.25">
      <c r="A1422" s="42">
        <v>1697</v>
      </c>
    </row>
    <row r="1423" spans="1:1" s="2" customFormat="1" x14ac:dyDescent="0.25">
      <c r="A1423" s="42">
        <v>1698</v>
      </c>
    </row>
    <row r="1424" spans="1:1" s="2" customFormat="1" x14ac:dyDescent="0.25">
      <c r="A1424" s="41">
        <v>1699</v>
      </c>
    </row>
    <row r="1425" spans="1:1" s="2" customFormat="1" x14ac:dyDescent="0.25">
      <c r="A1425" s="41">
        <v>1700</v>
      </c>
    </row>
    <row r="1426" spans="1:1" s="2" customFormat="1" x14ac:dyDescent="0.25">
      <c r="A1426" s="42">
        <v>1701</v>
      </c>
    </row>
    <row r="1427" spans="1:1" s="2" customFormat="1" x14ac:dyDescent="0.25">
      <c r="A1427" s="42">
        <v>1702</v>
      </c>
    </row>
    <row r="1428" spans="1:1" s="2" customFormat="1" x14ac:dyDescent="0.25">
      <c r="A1428" s="41">
        <v>1703</v>
      </c>
    </row>
    <row r="1429" spans="1:1" s="2" customFormat="1" x14ac:dyDescent="0.25">
      <c r="A1429" s="41">
        <v>1704</v>
      </c>
    </row>
    <row r="1430" spans="1:1" s="2" customFormat="1" x14ac:dyDescent="0.25">
      <c r="A1430" s="42">
        <v>1705</v>
      </c>
    </row>
    <row r="1431" spans="1:1" s="2" customFormat="1" x14ac:dyDescent="0.25">
      <c r="A1431" s="42">
        <v>1706</v>
      </c>
    </row>
    <row r="1432" spans="1:1" s="2" customFormat="1" x14ac:dyDescent="0.25">
      <c r="A1432" s="41">
        <v>1707</v>
      </c>
    </row>
    <row r="1433" spans="1:1" s="2" customFormat="1" x14ac:dyDescent="0.25">
      <c r="A1433" s="41">
        <v>1708</v>
      </c>
    </row>
    <row r="1434" spans="1:1" s="2" customFormat="1" x14ac:dyDescent="0.25">
      <c r="A1434" s="42">
        <v>1709</v>
      </c>
    </row>
    <row r="1435" spans="1:1" s="2" customFormat="1" x14ac:dyDescent="0.25">
      <c r="A1435" s="42">
        <v>1710</v>
      </c>
    </row>
    <row r="1436" spans="1:1" s="2" customFormat="1" x14ac:dyDescent="0.25">
      <c r="A1436" s="41">
        <v>1711</v>
      </c>
    </row>
    <row r="1437" spans="1:1" s="2" customFormat="1" x14ac:dyDescent="0.25">
      <c r="A1437" s="41">
        <v>1712</v>
      </c>
    </row>
    <row r="1438" spans="1:1" s="2" customFormat="1" x14ac:dyDescent="0.25">
      <c r="A1438" s="42">
        <v>1713</v>
      </c>
    </row>
    <row r="1439" spans="1:1" s="2" customFormat="1" x14ac:dyDescent="0.25">
      <c r="A1439" s="42">
        <v>1714</v>
      </c>
    </row>
    <row r="1440" spans="1:1" s="2" customFormat="1" x14ac:dyDescent="0.25">
      <c r="A1440" s="41">
        <v>1715</v>
      </c>
    </row>
    <row r="1441" spans="1:1" s="2" customFormat="1" x14ac:dyDescent="0.25">
      <c r="A1441" s="41">
        <v>1716</v>
      </c>
    </row>
    <row r="1442" spans="1:1" s="2" customFormat="1" x14ac:dyDescent="0.25">
      <c r="A1442" s="42">
        <v>1717</v>
      </c>
    </row>
    <row r="1443" spans="1:1" s="2" customFormat="1" x14ac:dyDescent="0.25">
      <c r="A1443" s="42">
        <v>1718</v>
      </c>
    </row>
    <row r="1444" spans="1:1" s="2" customFormat="1" x14ac:dyDescent="0.25">
      <c r="A1444" s="41">
        <v>1719</v>
      </c>
    </row>
    <row r="1445" spans="1:1" s="2" customFormat="1" x14ac:dyDescent="0.25">
      <c r="A1445" s="41">
        <v>1720</v>
      </c>
    </row>
    <row r="1446" spans="1:1" s="2" customFormat="1" x14ac:dyDescent="0.25">
      <c r="A1446" s="42">
        <v>1721</v>
      </c>
    </row>
    <row r="1447" spans="1:1" s="2" customFormat="1" x14ac:dyDescent="0.25">
      <c r="A1447" s="42">
        <v>1722</v>
      </c>
    </row>
    <row r="1448" spans="1:1" s="2" customFormat="1" x14ac:dyDescent="0.25">
      <c r="A1448" s="41">
        <v>1723</v>
      </c>
    </row>
    <row r="1449" spans="1:1" s="2" customFormat="1" x14ac:dyDescent="0.25">
      <c r="A1449" s="41">
        <v>1724</v>
      </c>
    </row>
    <row r="1450" spans="1:1" s="2" customFormat="1" x14ac:dyDescent="0.25">
      <c r="A1450" s="42">
        <v>1725</v>
      </c>
    </row>
    <row r="1451" spans="1:1" s="2" customFormat="1" x14ac:dyDescent="0.25">
      <c r="A1451" s="42">
        <v>1726</v>
      </c>
    </row>
    <row r="1452" spans="1:1" s="2" customFormat="1" x14ac:dyDescent="0.25">
      <c r="A1452" s="41">
        <v>1727</v>
      </c>
    </row>
    <row r="1453" spans="1:1" s="2" customFormat="1" x14ac:dyDescent="0.25">
      <c r="A1453" s="41">
        <v>1728</v>
      </c>
    </row>
    <row r="1454" spans="1:1" s="2" customFormat="1" x14ac:dyDescent="0.25">
      <c r="A1454" s="42">
        <v>1729</v>
      </c>
    </row>
    <row r="1455" spans="1:1" s="2" customFormat="1" x14ac:dyDescent="0.25">
      <c r="A1455" s="42">
        <v>1730</v>
      </c>
    </row>
    <row r="1456" spans="1:1" s="2" customFormat="1" x14ac:dyDescent="0.25">
      <c r="A1456" s="41">
        <v>1731</v>
      </c>
    </row>
    <row r="1457" spans="1:1" s="2" customFormat="1" x14ac:dyDescent="0.25">
      <c r="A1457" s="41">
        <v>1732</v>
      </c>
    </row>
    <row r="1458" spans="1:1" s="2" customFormat="1" x14ac:dyDescent="0.25">
      <c r="A1458" s="42">
        <v>1733</v>
      </c>
    </row>
    <row r="1459" spans="1:1" s="2" customFormat="1" x14ac:dyDescent="0.25">
      <c r="A1459" s="42">
        <v>1734</v>
      </c>
    </row>
    <row r="1460" spans="1:1" s="2" customFormat="1" x14ac:dyDescent="0.25">
      <c r="A1460" s="41">
        <v>1735</v>
      </c>
    </row>
    <row r="1461" spans="1:1" s="2" customFormat="1" x14ac:dyDescent="0.25">
      <c r="A1461" s="41">
        <v>1736</v>
      </c>
    </row>
    <row r="1462" spans="1:1" s="2" customFormat="1" x14ac:dyDescent="0.25">
      <c r="A1462" s="42">
        <v>1737</v>
      </c>
    </row>
    <row r="1463" spans="1:1" s="2" customFormat="1" x14ac:dyDescent="0.25">
      <c r="A1463" s="42">
        <v>1738</v>
      </c>
    </row>
    <row r="1464" spans="1:1" s="2" customFormat="1" x14ac:dyDescent="0.25">
      <c r="A1464" s="41">
        <v>1739</v>
      </c>
    </row>
    <row r="1465" spans="1:1" s="2" customFormat="1" x14ac:dyDescent="0.25">
      <c r="A1465" s="41">
        <v>1740</v>
      </c>
    </row>
    <row r="1466" spans="1:1" s="2" customFormat="1" x14ac:dyDescent="0.25">
      <c r="A1466" s="42">
        <v>1741</v>
      </c>
    </row>
    <row r="1467" spans="1:1" s="2" customFormat="1" x14ac:dyDescent="0.25">
      <c r="A1467" s="42">
        <v>1742</v>
      </c>
    </row>
    <row r="1468" spans="1:1" s="2" customFormat="1" x14ac:dyDescent="0.25">
      <c r="A1468" s="41">
        <v>1743</v>
      </c>
    </row>
    <row r="1469" spans="1:1" s="2" customFormat="1" x14ac:dyDescent="0.25">
      <c r="A1469" s="41">
        <v>1744</v>
      </c>
    </row>
    <row r="1470" spans="1:1" s="2" customFormat="1" x14ac:dyDescent="0.25">
      <c r="A1470" s="42">
        <v>1745</v>
      </c>
    </row>
    <row r="1471" spans="1:1" s="2" customFormat="1" x14ac:dyDescent="0.25">
      <c r="A1471" s="42">
        <v>1746</v>
      </c>
    </row>
    <row r="1472" spans="1:1" s="2" customFormat="1" x14ac:dyDescent="0.25">
      <c r="A1472" s="41">
        <v>1747</v>
      </c>
    </row>
    <row r="1473" spans="1:1" s="2" customFormat="1" x14ac:dyDescent="0.25">
      <c r="A1473" s="41">
        <v>1748</v>
      </c>
    </row>
    <row r="1474" spans="1:1" s="2" customFormat="1" x14ac:dyDescent="0.25">
      <c r="A1474" s="42">
        <v>1749</v>
      </c>
    </row>
    <row r="1475" spans="1:1" s="2" customFormat="1" x14ac:dyDescent="0.25">
      <c r="A1475" s="42">
        <v>1750</v>
      </c>
    </row>
    <row r="1476" spans="1:1" s="2" customFormat="1" x14ac:dyDescent="0.25">
      <c r="A1476" s="41">
        <v>1751</v>
      </c>
    </row>
    <row r="1477" spans="1:1" s="2" customFormat="1" x14ac:dyDescent="0.25">
      <c r="A1477" s="41">
        <v>1752</v>
      </c>
    </row>
    <row r="1478" spans="1:1" s="2" customFormat="1" x14ac:dyDescent="0.25">
      <c r="A1478" s="42">
        <v>1753</v>
      </c>
    </row>
    <row r="1479" spans="1:1" s="2" customFormat="1" x14ac:dyDescent="0.25">
      <c r="A1479" s="42">
        <v>1754</v>
      </c>
    </row>
    <row r="1480" spans="1:1" s="2" customFormat="1" x14ac:dyDescent="0.25">
      <c r="A1480" s="41">
        <v>1755</v>
      </c>
    </row>
    <row r="1481" spans="1:1" s="2" customFormat="1" x14ac:dyDescent="0.25">
      <c r="A1481" s="41">
        <v>1756</v>
      </c>
    </row>
    <row r="1482" spans="1:1" s="2" customFormat="1" x14ac:dyDescent="0.25">
      <c r="A1482" s="42">
        <v>1757</v>
      </c>
    </row>
    <row r="1483" spans="1:1" s="2" customFormat="1" x14ac:dyDescent="0.25">
      <c r="A1483" s="42">
        <v>1758</v>
      </c>
    </row>
    <row r="1484" spans="1:1" s="2" customFormat="1" x14ac:dyDescent="0.25">
      <c r="A1484" s="41">
        <v>1759</v>
      </c>
    </row>
    <row r="1485" spans="1:1" s="2" customFormat="1" x14ac:dyDescent="0.25">
      <c r="A1485" s="41">
        <v>1760</v>
      </c>
    </row>
    <row r="1486" spans="1:1" s="2" customFormat="1" x14ac:dyDescent="0.25">
      <c r="A1486" s="42">
        <v>1761</v>
      </c>
    </row>
    <row r="1487" spans="1:1" s="2" customFormat="1" x14ac:dyDescent="0.25">
      <c r="A1487" s="42">
        <v>1762</v>
      </c>
    </row>
    <row r="1488" spans="1:1" s="2" customFormat="1" x14ac:dyDescent="0.25">
      <c r="A1488" s="41">
        <v>1763</v>
      </c>
    </row>
    <row r="1489" spans="1:1" s="2" customFormat="1" x14ac:dyDescent="0.25">
      <c r="A1489" s="41">
        <v>1764</v>
      </c>
    </row>
    <row r="1490" spans="1:1" s="2" customFormat="1" x14ac:dyDescent="0.25">
      <c r="A1490" s="42">
        <v>1765</v>
      </c>
    </row>
    <row r="1491" spans="1:1" s="2" customFormat="1" x14ac:dyDescent="0.25">
      <c r="A1491" s="42">
        <v>1766</v>
      </c>
    </row>
    <row r="1492" spans="1:1" s="2" customFormat="1" x14ac:dyDescent="0.25">
      <c r="A1492" s="41">
        <v>1767</v>
      </c>
    </row>
    <row r="1493" spans="1:1" s="2" customFormat="1" x14ac:dyDescent="0.25">
      <c r="A1493" s="41">
        <v>1768</v>
      </c>
    </row>
    <row r="1494" spans="1:1" s="2" customFormat="1" x14ac:dyDescent="0.25">
      <c r="A1494" s="42">
        <v>1769</v>
      </c>
    </row>
    <row r="1495" spans="1:1" s="2" customFormat="1" x14ac:dyDescent="0.25">
      <c r="A1495" s="42">
        <v>1770</v>
      </c>
    </row>
    <row r="1496" spans="1:1" s="2" customFormat="1" x14ac:dyDescent="0.25">
      <c r="A1496" s="41">
        <v>1771</v>
      </c>
    </row>
    <row r="1497" spans="1:1" s="2" customFormat="1" x14ac:dyDescent="0.25">
      <c r="A1497" s="41">
        <v>1772</v>
      </c>
    </row>
    <row r="1498" spans="1:1" s="2" customFormat="1" x14ac:dyDescent="0.25">
      <c r="A1498" s="42">
        <v>1773</v>
      </c>
    </row>
    <row r="1499" spans="1:1" s="2" customFormat="1" x14ac:dyDescent="0.25">
      <c r="A1499" s="42">
        <v>1774</v>
      </c>
    </row>
    <row r="1500" spans="1:1" s="2" customFormat="1" x14ac:dyDescent="0.25">
      <c r="A1500" s="41">
        <v>1775</v>
      </c>
    </row>
    <row r="1501" spans="1:1" s="2" customFormat="1" x14ac:dyDescent="0.25">
      <c r="A1501" s="41">
        <v>1776</v>
      </c>
    </row>
    <row r="1502" spans="1:1" s="2" customFormat="1" x14ac:dyDescent="0.25">
      <c r="A1502" s="42">
        <v>1777</v>
      </c>
    </row>
    <row r="1503" spans="1:1" s="2" customFormat="1" x14ac:dyDescent="0.25">
      <c r="A1503" s="42">
        <v>1778</v>
      </c>
    </row>
    <row r="1504" spans="1:1" s="2" customFormat="1" x14ac:dyDescent="0.25">
      <c r="A1504" s="41">
        <v>1779</v>
      </c>
    </row>
    <row r="1505" spans="1:1" s="2" customFormat="1" x14ac:dyDescent="0.25">
      <c r="A1505" s="41">
        <v>1780</v>
      </c>
    </row>
    <row r="1506" spans="1:1" s="2" customFormat="1" x14ac:dyDescent="0.25">
      <c r="A1506" s="42">
        <v>1781</v>
      </c>
    </row>
    <row r="1507" spans="1:1" s="2" customFormat="1" x14ac:dyDescent="0.25">
      <c r="A1507" s="42">
        <v>1782</v>
      </c>
    </row>
    <row r="1508" spans="1:1" s="2" customFormat="1" x14ac:dyDescent="0.25">
      <c r="A1508" s="41">
        <v>1783</v>
      </c>
    </row>
    <row r="1509" spans="1:1" s="2" customFormat="1" x14ac:dyDescent="0.25">
      <c r="A1509" s="41">
        <v>1784</v>
      </c>
    </row>
    <row r="1510" spans="1:1" s="2" customFormat="1" x14ac:dyDescent="0.25">
      <c r="A1510" s="42">
        <v>1785</v>
      </c>
    </row>
    <row r="1511" spans="1:1" s="2" customFormat="1" x14ac:dyDescent="0.25">
      <c r="A1511" s="42">
        <v>1786</v>
      </c>
    </row>
    <row r="1512" spans="1:1" s="2" customFormat="1" x14ac:dyDescent="0.25">
      <c r="A1512" s="41">
        <v>1787</v>
      </c>
    </row>
    <row r="1513" spans="1:1" s="2" customFormat="1" x14ac:dyDescent="0.25">
      <c r="A1513" s="41">
        <v>1788</v>
      </c>
    </row>
    <row r="1514" spans="1:1" s="2" customFormat="1" x14ac:dyDescent="0.25">
      <c r="A1514" s="42">
        <v>1789</v>
      </c>
    </row>
    <row r="1515" spans="1:1" s="2" customFormat="1" x14ac:dyDescent="0.25">
      <c r="A1515" s="42">
        <v>1790</v>
      </c>
    </row>
    <row r="1516" spans="1:1" s="2" customFormat="1" x14ac:dyDescent="0.25">
      <c r="A1516" s="41">
        <v>1791</v>
      </c>
    </row>
    <row r="1517" spans="1:1" s="2" customFormat="1" x14ac:dyDescent="0.25">
      <c r="A1517" s="41">
        <v>1792</v>
      </c>
    </row>
    <row r="1518" spans="1:1" s="2" customFormat="1" x14ac:dyDescent="0.25">
      <c r="A1518" s="42">
        <v>1793</v>
      </c>
    </row>
    <row r="1519" spans="1:1" s="2" customFormat="1" x14ac:dyDescent="0.25">
      <c r="A1519" s="42">
        <v>1794</v>
      </c>
    </row>
    <row r="1520" spans="1:1" s="2" customFormat="1" x14ac:dyDescent="0.25">
      <c r="A1520" s="41">
        <v>1795</v>
      </c>
    </row>
    <row r="1521" spans="1:1" s="2" customFormat="1" x14ac:dyDescent="0.25">
      <c r="A1521" s="41">
        <v>1796</v>
      </c>
    </row>
    <row r="1522" spans="1:1" s="2" customFormat="1" x14ac:dyDescent="0.25">
      <c r="A1522" s="42">
        <v>1797</v>
      </c>
    </row>
    <row r="1523" spans="1:1" s="2" customFormat="1" x14ac:dyDescent="0.25">
      <c r="A1523" s="42">
        <v>1798</v>
      </c>
    </row>
    <row r="1524" spans="1:1" s="2" customFormat="1" x14ac:dyDescent="0.25">
      <c r="A1524" s="41">
        <v>1799</v>
      </c>
    </row>
    <row r="1525" spans="1:1" s="2" customFormat="1" x14ac:dyDescent="0.25">
      <c r="A1525" s="43">
        <v>3158</v>
      </c>
    </row>
    <row r="1526" spans="1:1" s="2" customFormat="1" x14ac:dyDescent="0.25">
      <c r="A1526" s="43">
        <v>3159</v>
      </c>
    </row>
    <row r="1527" spans="1:1" s="2" customFormat="1" x14ac:dyDescent="0.25">
      <c r="A1527" s="43">
        <v>3160</v>
      </c>
    </row>
    <row r="1528" spans="1:1" s="2" customFormat="1" x14ac:dyDescent="0.25">
      <c r="A1528" s="43">
        <v>3161</v>
      </c>
    </row>
    <row r="1529" spans="1:1" s="2" customFormat="1" x14ac:dyDescent="0.25">
      <c r="A1529" s="43">
        <v>3162</v>
      </c>
    </row>
    <row r="1530" spans="1:1" s="2" customFormat="1" x14ac:dyDescent="0.25">
      <c r="A1530" s="43">
        <v>3163</v>
      </c>
    </row>
    <row r="1531" spans="1:1" s="2" customFormat="1" x14ac:dyDescent="0.25">
      <c r="A1531" s="43">
        <v>3164</v>
      </c>
    </row>
    <row r="1532" spans="1:1" s="2" customFormat="1" x14ac:dyDescent="0.25">
      <c r="A1532" s="43">
        <v>3165</v>
      </c>
    </row>
    <row r="1533" spans="1:1" s="2" customFormat="1" x14ac:dyDescent="0.25">
      <c r="A1533" s="43">
        <v>3166</v>
      </c>
    </row>
    <row r="1534" spans="1:1" s="2" customFormat="1" x14ac:dyDescent="0.25">
      <c r="A1534" s="43">
        <v>3167</v>
      </c>
    </row>
    <row r="1535" spans="1:1" s="2" customFormat="1" x14ac:dyDescent="0.25">
      <c r="A1535" s="43">
        <v>3168</v>
      </c>
    </row>
    <row r="1536" spans="1:1" s="2" customFormat="1" x14ac:dyDescent="0.25">
      <c r="A1536" s="43">
        <v>3169</v>
      </c>
    </row>
    <row r="1537" spans="1:1" s="2" customFormat="1" x14ac:dyDescent="0.25">
      <c r="A1537" s="43">
        <v>3170</v>
      </c>
    </row>
    <row r="1538" spans="1:1" s="2" customFormat="1" x14ac:dyDescent="0.25">
      <c r="A1538" s="43">
        <v>3171</v>
      </c>
    </row>
    <row r="1539" spans="1:1" s="2" customFormat="1" x14ac:dyDescent="0.25">
      <c r="A1539" s="43">
        <v>3172</v>
      </c>
    </row>
    <row r="1540" spans="1:1" s="2" customFormat="1" x14ac:dyDescent="0.25">
      <c r="A1540" s="43">
        <v>3173</v>
      </c>
    </row>
    <row r="1541" spans="1:1" s="2" customFormat="1" x14ac:dyDescent="0.25">
      <c r="A1541" s="43">
        <v>3174</v>
      </c>
    </row>
    <row r="1542" spans="1:1" s="2" customFormat="1" x14ac:dyDescent="0.25">
      <c r="A1542" s="43">
        <v>3175</v>
      </c>
    </row>
    <row r="1543" spans="1:1" s="2" customFormat="1" x14ac:dyDescent="0.25">
      <c r="A1543" s="43">
        <v>3176</v>
      </c>
    </row>
    <row r="1544" spans="1:1" s="2" customFormat="1" x14ac:dyDescent="0.25">
      <c r="A1544" s="43">
        <v>3177</v>
      </c>
    </row>
    <row r="1545" spans="1:1" s="2" customFormat="1" x14ac:dyDescent="0.25">
      <c r="A1545" s="43">
        <v>3178</v>
      </c>
    </row>
    <row r="1546" spans="1:1" s="2" customFormat="1" x14ac:dyDescent="0.25">
      <c r="A1546" s="43">
        <v>3179</v>
      </c>
    </row>
    <row r="1547" spans="1:1" s="2" customFormat="1" x14ac:dyDescent="0.25">
      <c r="A1547" s="43">
        <v>3180</v>
      </c>
    </row>
    <row r="1548" spans="1:1" s="2" customFormat="1" x14ac:dyDescent="0.25">
      <c r="A1548" s="43">
        <v>3181</v>
      </c>
    </row>
    <row r="1549" spans="1:1" s="2" customFormat="1" x14ac:dyDescent="0.25">
      <c r="A1549" s="43">
        <v>3182</v>
      </c>
    </row>
    <row r="1550" spans="1:1" s="2" customFormat="1" x14ac:dyDescent="0.25">
      <c r="A1550" s="43">
        <v>3183</v>
      </c>
    </row>
    <row r="1551" spans="1:1" s="2" customFormat="1" x14ac:dyDescent="0.25">
      <c r="A1551" s="43">
        <v>3184</v>
      </c>
    </row>
    <row r="1552" spans="1:1" s="2" customFormat="1" x14ac:dyDescent="0.25">
      <c r="A1552" s="43">
        <v>3185</v>
      </c>
    </row>
    <row r="1553" spans="1:1" s="2" customFormat="1" x14ac:dyDescent="0.25">
      <c r="A1553" s="43">
        <v>3186</v>
      </c>
    </row>
    <row r="1554" spans="1:1" s="2" customFormat="1" x14ac:dyDescent="0.25">
      <c r="A1554" s="43">
        <v>3187</v>
      </c>
    </row>
    <row r="1555" spans="1:1" s="2" customFormat="1" x14ac:dyDescent="0.25">
      <c r="A1555" s="43">
        <v>3188</v>
      </c>
    </row>
    <row r="1556" spans="1:1" s="2" customFormat="1" x14ac:dyDescent="0.25">
      <c r="A1556" s="43">
        <v>3189</v>
      </c>
    </row>
    <row r="1557" spans="1:1" s="2" customFormat="1" x14ac:dyDescent="0.25">
      <c r="A1557" s="43">
        <v>3190</v>
      </c>
    </row>
    <row r="1558" spans="1:1" s="2" customFormat="1" x14ac:dyDescent="0.25">
      <c r="A1558" s="43">
        <v>3191</v>
      </c>
    </row>
    <row r="1559" spans="1:1" s="2" customFormat="1" x14ac:dyDescent="0.25">
      <c r="A1559" s="43">
        <v>3192</v>
      </c>
    </row>
    <row r="1560" spans="1:1" s="2" customFormat="1" x14ac:dyDescent="0.25">
      <c r="A1560" s="43">
        <v>3193</v>
      </c>
    </row>
    <row r="1561" spans="1:1" s="2" customFormat="1" x14ac:dyDescent="0.25">
      <c r="A1561" s="43">
        <v>3194</v>
      </c>
    </row>
    <row r="1562" spans="1:1" s="2" customFormat="1" x14ac:dyDescent="0.25">
      <c r="A1562" s="43">
        <v>3195</v>
      </c>
    </row>
    <row r="1563" spans="1:1" s="2" customFormat="1" x14ac:dyDescent="0.25">
      <c r="A1563" s="43">
        <v>3196</v>
      </c>
    </row>
    <row r="1564" spans="1:1" s="2" customFormat="1" x14ac:dyDescent="0.25">
      <c r="A1564" s="43">
        <v>3197</v>
      </c>
    </row>
    <row r="1565" spans="1:1" s="2" customFormat="1" x14ac:dyDescent="0.25">
      <c r="A1565" s="43">
        <v>3198</v>
      </c>
    </row>
    <row r="1566" spans="1:1" s="2" customFormat="1" x14ac:dyDescent="0.25">
      <c r="A1566" s="43">
        <v>3199</v>
      </c>
    </row>
    <row r="1567" spans="1:1" s="2" customFormat="1" x14ac:dyDescent="0.25">
      <c r="A1567" s="43">
        <v>3200</v>
      </c>
    </row>
    <row r="1568" spans="1:1" s="2" customFormat="1" x14ac:dyDescent="0.25">
      <c r="A1568" s="43">
        <v>3201</v>
      </c>
    </row>
    <row r="1569" spans="1:1" s="2" customFormat="1" x14ac:dyDescent="0.25">
      <c r="A1569" s="43">
        <v>3202</v>
      </c>
    </row>
    <row r="1570" spans="1:1" s="2" customFormat="1" x14ac:dyDescent="0.25">
      <c r="A1570" s="43">
        <v>3203</v>
      </c>
    </row>
    <row r="1571" spans="1:1" s="2" customFormat="1" x14ac:dyDescent="0.25">
      <c r="A1571" s="43">
        <v>3204</v>
      </c>
    </row>
    <row r="1572" spans="1:1" s="2" customFormat="1" x14ac:dyDescent="0.25">
      <c r="A1572" s="43">
        <v>3205</v>
      </c>
    </row>
    <row r="1573" spans="1:1" s="2" customFormat="1" x14ac:dyDescent="0.25">
      <c r="A1573" s="43">
        <v>3206</v>
      </c>
    </row>
    <row r="1574" spans="1:1" s="2" customFormat="1" x14ac:dyDescent="0.25">
      <c r="A1574" s="43">
        <v>3207</v>
      </c>
    </row>
    <row r="1575" spans="1:1" s="2" customFormat="1" x14ac:dyDescent="0.25">
      <c r="A1575" s="43">
        <v>3208</v>
      </c>
    </row>
    <row r="1576" spans="1:1" s="2" customFormat="1" x14ac:dyDescent="0.25">
      <c r="A1576" s="43">
        <v>3209</v>
      </c>
    </row>
    <row r="1577" spans="1:1" s="2" customFormat="1" x14ac:dyDescent="0.25">
      <c r="A1577" s="43">
        <v>3210</v>
      </c>
    </row>
    <row r="1578" spans="1:1" s="2" customFormat="1" x14ac:dyDescent="0.25">
      <c r="A1578" s="43">
        <v>3211</v>
      </c>
    </row>
    <row r="1579" spans="1:1" s="2" customFormat="1" x14ac:dyDescent="0.25">
      <c r="A1579" s="43">
        <v>3212</v>
      </c>
    </row>
    <row r="1580" spans="1:1" s="2" customFormat="1" x14ac:dyDescent="0.25">
      <c r="A1580" s="43">
        <v>3213</v>
      </c>
    </row>
    <row r="1581" spans="1:1" s="2" customFormat="1" x14ac:dyDescent="0.25">
      <c r="A1581" s="43">
        <v>3214</v>
      </c>
    </row>
    <row r="1582" spans="1:1" s="2" customFormat="1" x14ac:dyDescent="0.25">
      <c r="A1582" s="43">
        <v>3215</v>
      </c>
    </row>
    <row r="1583" spans="1:1" s="2" customFormat="1" x14ac:dyDescent="0.25">
      <c r="A1583" s="43">
        <v>3216</v>
      </c>
    </row>
    <row r="1584" spans="1:1" s="2" customFormat="1" x14ac:dyDescent="0.25">
      <c r="A1584" s="43">
        <v>3217</v>
      </c>
    </row>
    <row r="1585" spans="1:1" s="2" customFormat="1" x14ac:dyDescent="0.25">
      <c r="A1585" s="43">
        <v>3218</v>
      </c>
    </row>
    <row r="1586" spans="1:1" s="2" customFormat="1" x14ac:dyDescent="0.25">
      <c r="A1586" s="43">
        <v>3219</v>
      </c>
    </row>
    <row r="1587" spans="1:1" s="2" customFormat="1" x14ac:dyDescent="0.25">
      <c r="A1587" s="43">
        <v>3220</v>
      </c>
    </row>
    <row r="1588" spans="1:1" s="2" customFormat="1" x14ac:dyDescent="0.25">
      <c r="A1588" s="43">
        <v>3221</v>
      </c>
    </row>
    <row r="1589" spans="1:1" s="2" customFormat="1" x14ac:dyDescent="0.25">
      <c r="A1589" s="43">
        <v>3222</v>
      </c>
    </row>
    <row r="1590" spans="1:1" s="2" customFormat="1" x14ac:dyDescent="0.25">
      <c r="A1590" s="43">
        <v>3223</v>
      </c>
    </row>
    <row r="1591" spans="1:1" s="2" customFormat="1" x14ac:dyDescent="0.25">
      <c r="A1591" s="43">
        <v>3224</v>
      </c>
    </row>
    <row r="1592" spans="1:1" s="2" customFormat="1" x14ac:dyDescent="0.25">
      <c r="A1592" s="43">
        <v>3225</v>
      </c>
    </row>
    <row r="1593" spans="1:1" s="2" customFormat="1" x14ac:dyDescent="0.25">
      <c r="A1593" s="43">
        <v>3226</v>
      </c>
    </row>
    <row r="1594" spans="1:1" s="2" customFormat="1" x14ac:dyDescent="0.25">
      <c r="A1594" s="43">
        <v>3227</v>
      </c>
    </row>
    <row r="1595" spans="1:1" s="2" customFormat="1" x14ac:dyDescent="0.25">
      <c r="A1595" s="43">
        <v>3228</v>
      </c>
    </row>
    <row r="1596" spans="1:1" s="2" customFormat="1" x14ac:dyDescent="0.25">
      <c r="A1596" s="43">
        <v>3229</v>
      </c>
    </row>
    <row r="1597" spans="1:1" s="2" customFormat="1" x14ac:dyDescent="0.25">
      <c r="A1597" s="43">
        <v>3230</v>
      </c>
    </row>
    <row r="1598" spans="1:1" s="2" customFormat="1" x14ac:dyDescent="0.25">
      <c r="A1598" s="43">
        <v>3231</v>
      </c>
    </row>
    <row r="1599" spans="1:1" s="2" customFormat="1" x14ac:dyDescent="0.25">
      <c r="A1599" s="43">
        <v>3232</v>
      </c>
    </row>
    <row r="1600" spans="1:1" s="2" customFormat="1" x14ac:dyDescent="0.25">
      <c r="A1600" s="43">
        <v>3233</v>
      </c>
    </row>
    <row r="1601" spans="1:1" s="2" customFormat="1" x14ac:dyDescent="0.25">
      <c r="A1601" s="43">
        <v>3234</v>
      </c>
    </row>
    <row r="1602" spans="1:1" s="2" customFormat="1" x14ac:dyDescent="0.25">
      <c r="A1602" s="43">
        <v>3235</v>
      </c>
    </row>
    <row r="1603" spans="1:1" s="2" customFormat="1" x14ac:dyDescent="0.25">
      <c r="A1603" s="43">
        <v>3236</v>
      </c>
    </row>
    <row r="1604" spans="1:1" s="2" customFormat="1" x14ac:dyDescent="0.25">
      <c r="A1604" s="43">
        <v>3237</v>
      </c>
    </row>
    <row r="1605" spans="1:1" s="2" customFormat="1" x14ac:dyDescent="0.25">
      <c r="A1605" s="43">
        <v>3238</v>
      </c>
    </row>
    <row r="1606" spans="1:1" s="2" customFormat="1" x14ac:dyDescent="0.25">
      <c r="A1606" s="43">
        <v>3239</v>
      </c>
    </row>
    <row r="1607" spans="1:1" s="2" customFormat="1" x14ac:dyDescent="0.25">
      <c r="A1607" s="43">
        <v>3240</v>
      </c>
    </row>
    <row r="1608" spans="1:1" s="2" customFormat="1" x14ac:dyDescent="0.25">
      <c r="A1608" s="43">
        <v>3241</v>
      </c>
    </row>
    <row r="1609" spans="1:1" s="2" customFormat="1" x14ac:dyDescent="0.25">
      <c r="A1609" s="43">
        <v>3242</v>
      </c>
    </row>
    <row r="1610" spans="1:1" s="2" customFormat="1" x14ac:dyDescent="0.25">
      <c r="A1610" s="43">
        <v>3243</v>
      </c>
    </row>
    <row r="1611" spans="1:1" s="2" customFormat="1" x14ac:dyDescent="0.25">
      <c r="A1611" s="43">
        <v>3244</v>
      </c>
    </row>
    <row r="1612" spans="1:1" s="2" customFormat="1" x14ac:dyDescent="0.25">
      <c r="A1612" s="43">
        <v>3245</v>
      </c>
    </row>
    <row r="1613" spans="1:1" s="2" customFormat="1" x14ac:dyDescent="0.25">
      <c r="A1613" s="43">
        <v>3246</v>
      </c>
    </row>
    <row r="1614" spans="1:1" s="2" customFormat="1" x14ac:dyDescent="0.25">
      <c r="A1614" s="43">
        <v>3247</v>
      </c>
    </row>
    <row r="1615" spans="1:1" s="2" customFormat="1" x14ac:dyDescent="0.25">
      <c r="A1615" s="43">
        <v>3248</v>
      </c>
    </row>
    <row r="1616" spans="1:1" s="2" customFormat="1" x14ac:dyDescent="0.25">
      <c r="A1616" s="43">
        <v>3249</v>
      </c>
    </row>
    <row r="1617" spans="1:1" s="2" customFormat="1" x14ac:dyDescent="0.25">
      <c r="A1617" s="43">
        <v>3250</v>
      </c>
    </row>
    <row r="1618" spans="1:1" s="2" customFormat="1" x14ac:dyDescent="0.25">
      <c r="A1618" s="43">
        <v>3251</v>
      </c>
    </row>
    <row r="1619" spans="1:1" s="2" customFormat="1" x14ac:dyDescent="0.25">
      <c r="A1619" s="43">
        <v>3252</v>
      </c>
    </row>
    <row r="1620" spans="1:1" s="2" customFormat="1" x14ac:dyDescent="0.25">
      <c r="A1620" s="43">
        <v>3253</v>
      </c>
    </row>
    <row r="1621" spans="1:1" s="2" customFormat="1" x14ac:dyDescent="0.25">
      <c r="A1621" s="43">
        <v>3254</v>
      </c>
    </row>
    <row r="1622" spans="1:1" s="2" customFormat="1" x14ac:dyDescent="0.25">
      <c r="A1622" s="43">
        <v>3255</v>
      </c>
    </row>
    <row r="1623" spans="1:1" s="2" customFormat="1" x14ac:dyDescent="0.25">
      <c r="A1623" s="43">
        <v>3256</v>
      </c>
    </row>
    <row r="1624" spans="1:1" s="2" customFormat="1" x14ac:dyDescent="0.25">
      <c r="A1624" s="43">
        <v>3257</v>
      </c>
    </row>
    <row r="1625" spans="1:1" s="2" customFormat="1" x14ac:dyDescent="0.25">
      <c r="A1625" s="43">
        <v>3258</v>
      </c>
    </row>
    <row r="1626" spans="1:1" s="2" customFormat="1" x14ac:dyDescent="0.25">
      <c r="A1626" s="43">
        <v>3259</v>
      </c>
    </row>
    <row r="1627" spans="1:1" s="2" customFormat="1" x14ac:dyDescent="0.25">
      <c r="A1627" s="43">
        <v>3260</v>
      </c>
    </row>
    <row r="1628" spans="1:1" s="2" customFormat="1" x14ac:dyDescent="0.25">
      <c r="A1628" s="43">
        <v>3261</v>
      </c>
    </row>
    <row r="1629" spans="1:1" s="2" customFormat="1" x14ac:dyDescent="0.25">
      <c r="A1629" s="43">
        <v>3262</v>
      </c>
    </row>
    <row r="1630" spans="1:1" s="2" customFormat="1" x14ac:dyDescent="0.25">
      <c r="A1630" s="43">
        <v>3263</v>
      </c>
    </row>
    <row r="1631" spans="1:1" s="2" customFormat="1" x14ac:dyDescent="0.25">
      <c r="A1631" s="43">
        <v>3264</v>
      </c>
    </row>
    <row r="1632" spans="1:1" s="2" customFormat="1" x14ac:dyDescent="0.25">
      <c r="A1632" s="43">
        <v>3265</v>
      </c>
    </row>
    <row r="1633" spans="1:1" s="2" customFormat="1" x14ac:dyDescent="0.25">
      <c r="A1633" s="43">
        <v>3266</v>
      </c>
    </row>
    <row r="1634" spans="1:1" s="2" customFormat="1" x14ac:dyDescent="0.25">
      <c r="A1634" s="43">
        <v>3267</v>
      </c>
    </row>
    <row r="1635" spans="1:1" s="2" customFormat="1" x14ac:dyDescent="0.25">
      <c r="A1635" s="43">
        <v>3268</v>
      </c>
    </row>
    <row r="1636" spans="1:1" s="2" customFormat="1" x14ac:dyDescent="0.25">
      <c r="A1636" s="43">
        <v>3269</v>
      </c>
    </row>
    <row r="1637" spans="1:1" s="2" customFormat="1" x14ac:dyDescent="0.25">
      <c r="A1637" s="43">
        <v>3270</v>
      </c>
    </row>
    <row r="1638" spans="1:1" s="2" customFormat="1" x14ac:dyDescent="0.25">
      <c r="A1638" s="43">
        <v>3271</v>
      </c>
    </row>
    <row r="1639" spans="1:1" s="2" customFormat="1" x14ac:dyDescent="0.25">
      <c r="A1639" s="43">
        <v>3272</v>
      </c>
    </row>
    <row r="1640" spans="1:1" s="2" customFormat="1" x14ac:dyDescent="0.25">
      <c r="A1640" s="43">
        <v>3273</v>
      </c>
    </row>
    <row r="1641" spans="1:1" s="2" customFormat="1" x14ac:dyDescent="0.25">
      <c r="A1641" s="43">
        <v>3274</v>
      </c>
    </row>
    <row r="1642" spans="1:1" s="2" customFormat="1" x14ac:dyDescent="0.25">
      <c r="A1642" s="43">
        <v>3275</v>
      </c>
    </row>
    <row r="1643" spans="1:1" s="2" customFormat="1" x14ac:dyDescent="0.25">
      <c r="A1643" s="43">
        <v>3276</v>
      </c>
    </row>
    <row r="1644" spans="1:1" s="2" customFormat="1" x14ac:dyDescent="0.25">
      <c r="A1644" s="43">
        <v>3277</v>
      </c>
    </row>
    <row r="1645" spans="1:1" s="2" customFormat="1" x14ac:dyDescent="0.25">
      <c r="A1645" s="43">
        <v>3278</v>
      </c>
    </row>
    <row r="1646" spans="1:1" s="2" customFormat="1" x14ac:dyDescent="0.25">
      <c r="A1646" s="43">
        <v>3279</v>
      </c>
    </row>
    <row r="1647" spans="1:1" s="2" customFormat="1" x14ac:dyDescent="0.25">
      <c r="A1647" s="43">
        <v>3280</v>
      </c>
    </row>
    <row r="1648" spans="1:1" s="2" customFormat="1" x14ac:dyDescent="0.25">
      <c r="A1648" s="43">
        <v>3281</v>
      </c>
    </row>
    <row r="1649" spans="1:1" s="2" customFormat="1" x14ac:dyDescent="0.25">
      <c r="A1649" s="43">
        <v>3282</v>
      </c>
    </row>
    <row r="1650" spans="1:1" s="2" customFormat="1" x14ac:dyDescent="0.25">
      <c r="A1650" s="43">
        <v>3283</v>
      </c>
    </row>
    <row r="1651" spans="1:1" s="2" customFormat="1" x14ac:dyDescent="0.25">
      <c r="A1651" s="43">
        <v>3284</v>
      </c>
    </row>
    <row r="1652" spans="1:1" s="2" customFormat="1" x14ac:dyDescent="0.25">
      <c r="A1652" s="43">
        <v>3285</v>
      </c>
    </row>
    <row r="1653" spans="1:1" s="2" customFormat="1" x14ac:dyDescent="0.25">
      <c r="A1653" s="43">
        <v>3286</v>
      </c>
    </row>
    <row r="1654" spans="1:1" s="2" customFormat="1" x14ac:dyDescent="0.25">
      <c r="A1654" s="43">
        <v>3287</v>
      </c>
    </row>
    <row r="1655" spans="1:1" s="2" customFormat="1" x14ac:dyDescent="0.25">
      <c r="A1655" s="43">
        <v>3288</v>
      </c>
    </row>
    <row r="1656" spans="1:1" s="2" customFormat="1" x14ac:dyDescent="0.25">
      <c r="A1656" s="43">
        <v>3289</v>
      </c>
    </row>
    <row r="1657" spans="1:1" s="2" customFormat="1" x14ac:dyDescent="0.25">
      <c r="A1657" s="43">
        <v>3290</v>
      </c>
    </row>
    <row r="1658" spans="1:1" s="2" customFormat="1" x14ac:dyDescent="0.25">
      <c r="A1658" s="43">
        <v>3291</v>
      </c>
    </row>
    <row r="1659" spans="1:1" s="2" customFormat="1" x14ac:dyDescent="0.25">
      <c r="A1659" s="43">
        <v>3292</v>
      </c>
    </row>
    <row r="1660" spans="1:1" s="2" customFormat="1" x14ac:dyDescent="0.25">
      <c r="A1660" s="43">
        <v>3293</v>
      </c>
    </row>
    <row r="1661" spans="1:1" s="2" customFormat="1" x14ac:dyDescent="0.25">
      <c r="A1661" s="43">
        <v>3294</v>
      </c>
    </row>
    <row r="1662" spans="1:1" s="2" customFormat="1" x14ac:dyDescent="0.25">
      <c r="A1662" s="43">
        <v>3295</v>
      </c>
    </row>
    <row r="1663" spans="1:1" s="2" customFormat="1" x14ac:dyDescent="0.25">
      <c r="A1663" s="43">
        <v>3296</v>
      </c>
    </row>
    <row r="1664" spans="1:1" s="2" customFormat="1" x14ac:dyDescent="0.25">
      <c r="A1664" s="43">
        <v>3297</v>
      </c>
    </row>
    <row r="1665" spans="1:1" s="2" customFormat="1" x14ac:dyDescent="0.25">
      <c r="A1665" s="43">
        <v>3298</v>
      </c>
    </row>
    <row r="1666" spans="1:1" s="2" customFormat="1" x14ac:dyDescent="0.25">
      <c r="A1666" s="43">
        <v>3299</v>
      </c>
    </row>
    <row r="1667" spans="1:1" s="2" customFormat="1" x14ac:dyDescent="0.25">
      <c r="A1667" s="43">
        <v>3300</v>
      </c>
    </row>
    <row r="1668" spans="1:1" s="2" customFormat="1" x14ac:dyDescent="0.25">
      <c r="A1668" s="43">
        <v>3301</v>
      </c>
    </row>
    <row r="1669" spans="1:1" s="2" customFormat="1" x14ac:dyDescent="0.25">
      <c r="A1669" s="43">
        <v>3302</v>
      </c>
    </row>
    <row r="1670" spans="1:1" s="2" customFormat="1" x14ac:dyDescent="0.25">
      <c r="A1670" s="43">
        <v>3303</v>
      </c>
    </row>
    <row r="1671" spans="1:1" s="2" customFormat="1" x14ac:dyDescent="0.25">
      <c r="A1671" s="43">
        <v>3304</v>
      </c>
    </row>
    <row r="1672" spans="1:1" s="2" customFormat="1" x14ac:dyDescent="0.25">
      <c r="A1672" s="43">
        <v>3305</v>
      </c>
    </row>
    <row r="1673" spans="1:1" s="2" customFormat="1" x14ac:dyDescent="0.25">
      <c r="A1673" s="43">
        <v>3306</v>
      </c>
    </row>
    <row r="1674" spans="1:1" s="2" customFormat="1" x14ac:dyDescent="0.25">
      <c r="A1674" s="43">
        <v>3307</v>
      </c>
    </row>
    <row r="1675" spans="1:1" s="2" customFormat="1" x14ac:dyDescent="0.25">
      <c r="A1675" s="43">
        <v>3308</v>
      </c>
    </row>
    <row r="1676" spans="1:1" s="2" customFormat="1" x14ac:dyDescent="0.25">
      <c r="A1676" s="43">
        <v>3309</v>
      </c>
    </row>
    <row r="1677" spans="1:1" s="2" customFormat="1" x14ac:dyDescent="0.25">
      <c r="A1677" s="43">
        <v>3310</v>
      </c>
    </row>
    <row r="1678" spans="1:1" s="2" customFormat="1" x14ac:dyDescent="0.25">
      <c r="A1678" s="43">
        <v>3311</v>
      </c>
    </row>
    <row r="1679" spans="1:1" s="2" customFormat="1" x14ac:dyDescent="0.25">
      <c r="A1679" s="43">
        <v>3312</v>
      </c>
    </row>
    <row r="1680" spans="1:1" s="2" customFormat="1" x14ac:dyDescent="0.25">
      <c r="A1680" s="43">
        <v>3313</v>
      </c>
    </row>
    <row r="1681" spans="1:1" s="2" customFormat="1" x14ac:dyDescent="0.25">
      <c r="A1681" s="43">
        <v>3314</v>
      </c>
    </row>
    <row r="1682" spans="1:1" s="2" customFormat="1" x14ac:dyDescent="0.25">
      <c r="A1682" s="43">
        <v>3315</v>
      </c>
    </row>
    <row r="1683" spans="1:1" s="2" customFormat="1" x14ac:dyDescent="0.25">
      <c r="A1683" s="43">
        <v>3316</v>
      </c>
    </row>
    <row r="1684" spans="1:1" s="2" customFormat="1" x14ac:dyDescent="0.25">
      <c r="A1684" s="43">
        <v>3317</v>
      </c>
    </row>
    <row r="1685" spans="1:1" s="2" customFormat="1" x14ac:dyDescent="0.25">
      <c r="A1685" s="43">
        <v>3318</v>
      </c>
    </row>
    <row r="1686" spans="1:1" s="2" customFormat="1" x14ac:dyDescent="0.25">
      <c r="A1686" s="43">
        <v>3319</v>
      </c>
    </row>
    <row r="1687" spans="1:1" s="2" customFormat="1" x14ac:dyDescent="0.25">
      <c r="A1687" s="43">
        <v>3320</v>
      </c>
    </row>
    <row r="1688" spans="1:1" s="2" customFormat="1" x14ac:dyDescent="0.25">
      <c r="A1688" s="43">
        <v>3321</v>
      </c>
    </row>
    <row r="1689" spans="1:1" s="2" customFormat="1" x14ac:dyDescent="0.25">
      <c r="A1689" s="43">
        <v>3322</v>
      </c>
    </row>
    <row r="1690" spans="1:1" s="2" customFormat="1" x14ac:dyDescent="0.25">
      <c r="A1690" s="43">
        <v>3323</v>
      </c>
    </row>
    <row r="1691" spans="1:1" s="2" customFormat="1" x14ac:dyDescent="0.25">
      <c r="A1691" s="43">
        <v>3324</v>
      </c>
    </row>
    <row r="1692" spans="1:1" s="2" customFormat="1" x14ac:dyDescent="0.25">
      <c r="A1692" s="43">
        <v>3325</v>
      </c>
    </row>
    <row r="1693" spans="1:1" s="2" customFormat="1" x14ac:dyDescent="0.25">
      <c r="A1693" s="43">
        <v>3326</v>
      </c>
    </row>
    <row r="1694" spans="1:1" s="2" customFormat="1" x14ac:dyDescent="0.25">
      <c r="A1694" s="43">
        <v>3327</v>
      </c>
    </row>
    <row r="1695" spans="1:1" s="2" customFormat="1" x14ac:dyDescent="0.25">
      <c r="A1695" s="43">
        <v>3328</v>
      </c>
    </row>
    <row r="1696" spans="1:1" s="2" customFormat="1" x14ac:dyDescent="0.25">
      <c r="A1696" s="43">
        <v>3329</v>
      </c>
    </row>
    <row r="1697" spans="1:1" s="2" customFormat="1" x14ac:dyDescent="0.25">
      <c r="A1697" s="43">
        <v>3330</v>
      </c>
    </row>
    <row r="1698" spans="1:1" s="2" customFormat="1" x14ac:dyDescent="0.25">
      <c r="A1698" s="43">
        <v>3331</v>
      </c>
    </row>
    <row r="1699" spans="1:1" s="2" customFormat="1" x14ac:dyDescent="0.25">
      <c r="A1699" s="43">
        <v>3332</v>
      </c>
    </row>
    <row r="1700" spans="1:1" s="2" customFormat="1" x14ac:dyDescent="0.25">
      <c r="A1700" s="43">
        <v>3333</v>
      </c>
    </row>
    <row r="1701" spans="1:1" s="2" customFormat="1" x14ac:dyDescent="0.25">
      <c r="A1701" s="43">
        <v>3334</v>
      </c>
    </row>
    <row r="1702" spans="1:1" s="2" customFormat="1" x14ac:dyDescent="0.25">
      <c r="A1702" s="43">
        <v>3335</v>
      </c>
    </row>
    <row r="1703" spans="1:1" s="2" customFormat="1" x14ac:dyDescent="0.25">
      <c r="A1703" s="43">
        <v>3336</v>
      </c>
    </row>
    <row r="1704" spans="1:1" s="2" customFormat="1" x14ac:dyDescent="0.25">
      <c r="A1704" s="43">
        <v>3337</v>
      </c>
    </row>
    <row r="1705" spans="1:1" s="2" customFormat="1" x14ac:dyDescent="0.25">
      <c r="A1705" s="43">
        <v>3338</v>
      </c>
    </row>
    <row r="1706" spans="1:1" s="2" customFormat="1" x14ac:dyDescent="0.25">
      <c r="A1706" s="43">
        <v>3339</v>
      </c>
    </row>
    <row r="1707" spans="1:1" s="2" customFormat="1" x14ac:dyDescent="0.25">
      <c r="A1707" s="43">
        <v>3340</v>
      </c>
    </row>
    <row r="1708" spans="1:1" s="2" customFormat="1" x14ac:dyDescent="0.25">
      <c r="A1708" s="43">
        <v>3341</v>
      </c>
    </row>
    <row r="1709" spans="1:1" s="2" customFormat="1" x14ac:dyDescent="0.25">
      <c r="A1709" s="43">
        <v>3342</v>
      </c>
    </row>
    <row r="1710" spans="1:1" s="2" customFormat="1" x14ac:dyDescent="0.25">
      <c r="A1710" s="43">
        <v>3343</v>
      </c>
    </row>
    <row r="1711" spans="1:1" s="2" customFormat="1" x14ac:dyDescent="0.25">
      <c r="A1711" s="43">
        <v>3344</v>
      </c>
    </row>
    <row r="1712" spans="1:1" s="2" customFormat="1" x14ac:dyDescent="0.25">
      <c r="A1712" s="43">
        <v>3345</v>
      </c>
    </row>
    <row r="1713" spans="1:1" s="2" customFormat="1" x14ac:dyDescent="0.25">
      <c r="A1713" s="43">
        <v>3346</v>
      </c>
    </row>
    <row r="1714" spans="1:1" s="2" customFormat="1" x14ac:dyDescent="0.25">
      <c r="A1714" s="43">
        <v>3347</v>
      </c>
    </row>
    <row r="1715" spans="1:1" s="2" customFormat="1" x14ac:dyDescent="0.25">
      <c r="A1715" s="43">
        <v>3348</v>
      </c>
    </row>
    <row r="1716" spans="1:1" s="2" customFormat="1" x14ac:dyDescent="0.25">
      <c r="A1716" s="43">
        <v>3349</v>
      </c>
    </row>
    <row r="1717" spans="1:1" s="2" customFormat="1" x14ac:dyDescent="0.25">
      <c r="A1717" s="43">
        <v>3350</v>
      </c>
    </row>
    <row r="1718" spans="1:1" s="2" customFormat="1" x14ac:dyDescent="0.25">
      <c r="A1718" s="43">
        <v>3351</v>
      </c>
    </row>
    <row r="1719" spans="1:1" s="2" customFormat="1" x14ac:dyDescent="0.25">
      <c r="A1719" s="43">
        <v>3352</v>
      </c>
    </row>
    <row r="1720" spans="1:1" s="2" customFormat="1" x14ac:dyDescent="0.25">
      <c r="A1720" s="43">
        <v>3353</v>
      </c>
    </row>
    <row r="1721" spans="1:1" s="2" customFormat="1" x14ac:dyDescent="0.25">
      <c r="A1721" s="43">
        <v>3354</v>
      </c>
    </row>
    <row r="1722" spans="1:1" s="2" customFormat="1" x14ac:dyDescent="0.25">
      <c r="A1722" s="43">
        <v>3355</v>
      </c>
    </row>
    <row r="1723" spans="1:1" s="2" customFormat="1" x14ac:dyDescent="0.25">
      <c r="A1723" s="43">
        <v>3356</v>
      </c>
    </row>
    <row r="1724" spans="1:1" s="2" customFormat="1" x14ac:dyDescent="0.25">
      <c r="A1724" s="43">
        <v>3357</v>
      </c>
    </row>
    <row r="1725" spans="1:1" s="2" customFormat="1" x14ac:dyDescent="0.25">
      <c r="A1725" s="43">
        <v>3358</v>
      </c>
    </row>
    <row r="1726" spans="1:1" s="2" customFormat="1" x14ac:dyDescent="0.25">
      <c r="A1726" s="43">
        <v>3359</v>
      </c>
    </row>
    <row r="1727" spans="1:1" s="2" customFormat="1" x14ac:dyDescent="0.25">
      <c r="A1727" s="43">
        <v>3360</v>
      </c>
    </row>
    <row r="1728" spans="1:1" s="2" customFormat="1" x14ac:dyDescent="0.25">
      <c r="A1728" s="43">
        <v>3361</v>
      </c>
    </row>
    <row r="1729" spans="1:1" s="2" customFormat="1" x14ac:dyDescent="0.25">
      <c r="A1729" s="43">
        <v>3362</v>
      </c>
    </row>
    <row r="1730" spans="1:1" s="2" customFormat="1" x14ac:dyDescent="0.25">
      <c r="A1730" s="43">
        <v>3363</v>
      </c>
    </row>
    <row r="1731" spans="1:1" s="2" customFormat="1" x14ac:dyDescent="0.25">
      <c r="A1731" s="43">
        <v>3364</v>
      </c>
    </row>
    <row r="1732" spans="1:1" s="2" customFormat="1" x14ac:dyDescent="0.25">
      <c r="A1732" s="43">
        <v>3365</v>
      </c>
    </row>
    <row r="1733" spans="1:1" s="2" customFormat="1" x14ac:dyDescent="0.25">
      <c r="A1733" s="43">
        <v>3366</v>
      </c>
    </row>
    <row r="1734" spans="1:1" s="2" customFormat="1" x14ac:dyDescent="0.25">
      <c r="A1734" s="43">
        <v>3367</v>
      </c>
    </row>
    <row r="1735" spans="1:1" s="2" customFormat="1" x14ac:dyDescent="0.25">
      <c r="A1735" s="43">
        <v>3368</v>
      </c>
    </row>
    <row r="1736" spans="1:1" s="2" customFormat="1" x14ac:dyDescent="0.25">
      <c r="A1736" s="43">
        <v>3369</v>
      </c>
    </row>
    <row r="1737" spans="1:1" s="2" customFormat="1" x14ac:dyDescent="0.25">
      <c r="A1737" s="43">
        <v>3370</v>
      </c>
    </row>
    <row r="1738" spans="1:1" s="2" customFormat="1" x14ac:dyDescent="0.25">
      <c r="A1738" s="43">
        <v>3371</v>
      </c>
    </row>
    <row r="1739" spans="1:1" s="2" customFormat="1" x14ac:dyDescent="0.25">
      <c r="A1739" s="43">
        <v>3372</v>
      </c>
    </row>
    <row r="1740" spans="1:1" s="2" customFormat="1" x14ac:dyDescent="0.25">
      <c r="A1740" s="43">
        <v>3373</v>
      </c>
    </row>
    <row r="1741" spans="1:1" s="2" customFormat="1" x14ac:dyDescent="0.25">
      <c r="A1741" s="43">
        <v>3374</v>
      </c>
    </row>
    <row r="1742" spans="1:1" s="2" customFormat="1" x14ac:dyDescent="0.25">
      <c r="A1742" s="43">
        <v>3375</v>
      </c>
    </row>
    <row r="1743" spans="1:1" s="2" customFormat="1" x14ac:dyDescent="0.25">
      <c r="A1743" s="43">
        <v>3376</v>
      </c>
    </row>
    <row r="1744" spans="1:1" s="2" customFormat="1" x14ac:dyDescent="0.25">
      <c r="A1744" s="43">
        <v>3377</v>
      </c>
    </row>
    <row r="1745" spans="1:1" s="2" customFormat="1" x14ac:dyDescent="0.25">
      <c r="A1745" s="43">
        <v>3378</v>
      </c>
    </row>
    <row r="1746" spans="1:1" s="2" customFormat="1" x14ac:dyDescent="0.25">
      <c r="A1746" s="43">
        <v>3379</v>
      </c>
    </row>
    <row r="1747" spans="1:1" s="2" customFormat="1" x14ac:dyDescent="0.25">
      <c r="A1747" s="43">
        <v>3380</v>
      </c>
    </row>
    <row r="1748" spans="1:1" s="2" customFormat="1" x14ac:dyDescent="0.25">
      <c r="A1748" s="43">
        <v>3381</v>
      </c>
    </row>
    <row r="1749" spans="1:1" s="2" customFormat="1" x14ac:dyDescent="0.25">
      <c r="A1749" s="43">
        <v>3382</v>
      </c>
    </row>
    <row r="1750" spans="1:1" s="2" customFormat="1" x14ac:dyDescent="0.25">
      <c r="A1750" s="43">
        <v>3383</v>
      </c>
    </row>
    <row r="1751" spans="1:1" s="2" customFormat="1" x14ac:dyDescent="0.25">
      <c r="A1751" s="43">
        <v>3384</v>
      </c>
    </row>
    <row r="1752" spans="1:1" s="2" customFormat="1" x14ac:dyDescent="0.25">
      <c r="A1752" s="43">
        <v>3385</v>
      </c>
    </row>
    <row r="1753" spans="1:1" s="2" customFormat="1" x14ac:dyDescent="0.25">
      <c r="A1753" s="43">
        <v>3386</v>
      </c>
    </row>
    <row r="1754" spans="1:1" s="2" customFormat="1" x14ac:dyDescent="0.25">
      <c r="A1754" s="43">
        <v>3387</v>
      </c>
    </row>
    <row r="1755" spans="1:1" s="2" customFormat="1" x14ac:dyDescent="0.25">
      <c r="A1755" s="43">
        <v>3388</v>
      </c>
    </row>
    <row r="1756" spans="1:1" s="2" customFormat="1" x14ac:dyDescent="0.25">
      <c r="A1756" s="43">
        <v>3389</v>
      </c>
    </row>
    <row r="1757" spans="1:1" s="2" customFormat="1" x14ac:dyDescent="0.25">
      <c r="A1757" s="43">
        <v>3390</v>
      </c>
    </row>
    <row r="1758" spans="1:1" s="2" customFormat="1" x14ac:dyDescent="0.25">
      <c r="A1758" s="43">
        <v>3391</v>
      </c>
    </row>
    <row r="1759" spans="1:1" s="2" customFormat="1" x14ac:dyDescent="0.25">
      <c r="A1759" s="43">
        <v>3392</v>
      </c>
    </row>
    <row r="1760" spans="1:1" s="2" customFormat="1" x14ac:dyDescent="0.25">
      <c r="A1760" s="43">
        <v>3393</v>
      </c>
    </row>
    <row r="1761" spans="1:1" s="2" customFormat="1" x14ac:dyDescent="0.25">
      <c r="A1761" s="43">
        <v>3394</v>
      </c>
    </row>
    <row r="1762" spans="1:1" s="2" customFormat="1" x14ac:dyDescent="0.25">
      <c r="A1762" s="43">
        <v>3395</v>
      </c>
    </row>
    <row r="1763" spans="1:1" s="2" customFormat="1" x14ac:dyDescent="0.25">
      <c r="A1763" s="43">
        <v>3396</v>
      </c>
    </row>
    <row r="1764" spans="1:1" s="2" customFormat="1" x14ac:dyDescent="0.25">
      <c r="A1764" s="43">
        <v>3397</v>
      </c>
    </row>
    <row r="1765" spans="1:1" s="2" customFormat="1" x14ac:dyDescent="0.25">
      <c r="A1765" s="43">
        <v>3398</v>
      </c>
    </row>
    <row r="1766" spans="1:1" s="2" customFormat="1" x14ac:dyDescent="0.25">
      <c r="A1766" s="43">
        <v>3399</v>
      </c>
    </row>
    <row r="1767" spans="1:1" s="2" customFormat="1" x14ac:dyDescent="0.25">
      <c r="A1767" s="43">
        <v>3400</v>
      </c>
    </row>
    <row r="1768" spans="1:1" s="2" customFormat="1" x14ac:dyDescent="0.25">
      <c r="A1768" s="43">
        <v>3401</v>
      </c>
    </row>
    <row r="1769" spans="1:1" s="2" customFormat="1" x14ac:dyDescent="0.25">
      <c r="A1769" s="43">
        <v>3402</v>
      </c>
    </row>
    <row r="1770" spans="1:1" s="2" customFormat="1" x14ac:dyDescent="0.25">
      <c r="A1770" s="43">
        <v>3403</v>
      </c>
    </row>
    <row r="1771" spans="1:1" s="2" customFormat="1" x14ac:dyDescent="0.25">
      <c r="A1771" s="43">
        <v>3404</v>
      </c>
    </row>
    <row r="1772" spans="1:1" s="2" customFormat="1" x14ac:dyDescent="0.25">
      <c r="A1772" s="43">
        <v>3405</v>
      </c>
    </row>
    <row r="1773" spans="1:1" s="2" customFormat="1" x14ac:dyDescent="0.25">
      <c r="A1773" s="43">
        <v>3406</v>
      </c>
    </row>
    <row r="1774" spans="1:1" s="2" customFormat="1" x14ac:dyDescent="0.25">
      <c r="A1774" s="43">
        <v>3407</v>
      </c>
    </row>
    <row r="1775" spans="1:1" s="2" customFormat="1" x14ac:dyDescent="0.25">
      <c r="A1775" s="43">
        <v>3408</v>
      </c>
    </row>
    <row r="1776" spans="1:1" s="2" customFormat="1" x14ac:dyDescent="0.25">
      <c r="A1776" s="43">
        <v>3409</v>
      </c>
    </row>
    <row r="1777" spans="1:1" s="2" customFormat="1" x14ac:dyDescent="0.25">
      <c r="A1777" s="43">
        <v>3410</v>
      </c>
    </row>
    <row r="1778" spans="1:1" s="2" customFormat="1" x14ac:dyDescent="0.25">
      <c r="A1778" s="43">
        <v>3411</v>
      </c>
    </row>
    <row r="1779" spans="1:1" s="2" customFormat="1" x14ac:dyDescent="0.25">
      <c r="A1779" s="43">
        <v>3412</v>
      </c>
    </row>
    <row r="1780" spans="1:1" s="2" customFormat="1" x14ac:dyDescent="0.25">
      <c r="A1780" s="43">
        <v>3413</v>
      </c>
    </row>
    <row r="1781" spans="1:1" s="2" customFormat="1" x14ac:dyDescent="0.25">
      <c r="A1781" s="43">
        <v>3414</v>
      </c>
    </row>
    <row r="1782" spans="1:1" s="2" customFormat="1" x14ac:dyDescent="0.25">
      <c r="A1782" s="43">
        <v>3415</v>
      </c>
    </row>
    <row r="1783" spans="1:1" s="2" customFormat="1" x14ac:dyDescent="0.25">
      <c r="A1783" s="43">
        <v>3416</v>
      </c>
    </row>
    <row r="1784" spans="1:1" s="2" customFormat="1" x14ac:dyDescent="0.25">
      <c r="A1784" s="43">
        <v>3417</v>
      </c>
    </row>
    <row r="1785" spans="1:1" s="2" customFormat="1" x14ac:dyDescent="0.25">
      <c r="A1785" s="43">
        <v>3418</v>
      </c>
    </row>
    <row r="1786" spans="1:1" s="2" customFormat="1" x14ac:dyDescent="0.25">
      <c r="A1786" s="43">
        <v>3419</v>
      </c>
    </row>
    <row r="1787" spans="1:1" s="2" customFormat="1" x14ac:dyDescent="0.25">
      <c r="A1787" s="43">
        <v>3420</v>
      </c>
    </row>
    <row r="1788" spans="1:1" s="2" customFormat="1" x14ac:dyDescent="0.25">
      <c r="A1788" s="43">
        <v>3421</v>
      </c>
    </row>
    <row r="1789" spans="1:1" s="2" customFormat="1" x14ac:dyDescent="0.25">
      <c r="A1789" s="43">
        <v>3422</v>
      </c>
    </row>
    <row r="1790" spans="1:1" s="2" customFormat="1" x14ac:dyDescent="0.25">
      <c r="A1790" s="43">
        <v>3423</v>
      </c>
    </row>
    <row r="1791" spans="1:1" s="2" customFormat="1" x14ac:dyDescent="0.25">
      <c r="A1791" s="43">
        <v>3424</v>
      </c>
    </row>
    <row r="1792" spans="1:1" s="2" customFormat="1" x14ac:dyDescent="0.25">
      <c r="A1792" s="43">
        <v>3425</v>
      </c>
    </row>
    <row r="1793" spans="1:1" s="2" customFormat="1" x14ac:dyDescent="0.25">
      <c r="A1793" s="43">
        <v>3426</v>
      </c>
    </row>
    <row r="1794" spans="1:1" s="2" customFormat="1" x14ac:dyDescent="0.25">
      <c r="A1794" s="43">
        <v>3427</v>
      </c>
    </row>
    <row r="1795" spans="1:1" s="2" customFormat="1" x14ac:dyDescent="0.25">
      <c r="A1795" s="43">
        <v>3428</v>
      </c>
    </row>
    <row r="1796" spans="1:1" s="2" customFormat="1" x14ac:dyDescent="0.25">
      <c r="A1796" s="43">
        <v>3429</v>
      </c>
    </row>
    <row r="1797" spans="1:1" s="2" customFormat="1" x14ac:dyDescent="0.25">
      <c r="A1797" s="43">
        <v>3430</v>
      </c>
    </row>
    <row r="1798" spans="1:1" s="2" customFormat="1" x14ac:dyDescent="0.25">
      <c r="A1798" s="43">
        <v>3431</v>
      </c>
    </row>
    <row r="1799" spans="1:1" s="2" customFormat="1" x14ac:dyDescent="0.25">
      <c r="A1799" s="43">
        <v>3432</v>
      </c>
    </row>
    <row r="1800" spans="1:1" s="2" customFormat="1" x14ac:dyDescent="0.25">
      <c r="A1800" s="43">
        <v>3433</v>
      </c>
    </row>
    <row r="1801" spans="1:1" s="2" customFormat="1" x14ac:dyDescent="0.25">
      <c r="A1801" s="43">
        <v>3434</v>
      </c>
    </row>
    <row r="1802" spans="1:1" s="2" customFormat="1" x14ac:dyDescent="0.25">
      <c r="A1802" s="43">
        <v>3435</v>
      </c>
    </row>
    <row r="1803" spans="1:1" s="2" customFormat="1" x14ac:dyDescent="0.25">
      <c r="A1803" s="43">
        <v>3436</v>
      </c>
    </row>
    <row r="1804" spans="1:1" s="2" customFormat="1" x14ac:dyDescent="0.25">
      <c r="A1804" s="43">
        <v>3437</v>
      </c>
    </row>
    <row r="1805" spans="1:1" s="2" customFormat="1" x14ac:dyDescent="0.25">
      <c r="A1805" s="43">
        <v>3438</v>
      </c>
    </row>
    <row r="1806" spans="1:1" s="2" customFormat="1" x14ac:dyDescent="0.25">
      <c r="A1806" s="43">
        <v>3439</v>
      </c>
    </row>
    <row r="1807" spans="1:1" s="2" customFormat="1" x14ac:dyDescent="0.25">
      <c r="A1807" s="43">
        <v>3440</v>
      </c>
    </row>
    <row r="1808" spans="1:1" s="2" customFormat="1" x14ac:dyDescent="0.25">
      <c r="A1808" s="43">
        <v>3441</v>
      </c>
    </row>
    <row r="1809" spans="1:1" s="2" customFormat="1" x14ac:dyDescent="0.25">
      <c r="A1809" s="43">
        <v>3442</v>
      </c>
    </row>
    <row r="1810" spans="1:1" s="2" customFormat="1" x14ac:dyDescent="0.25">
      <c r="A1810" s="43">
        <v>3443</v>
      </c>
    </row>
    <row r="1811" spans="1:1" s="2" customFormat="1" x14ac:dyDescent="0.25">
      <c r="A1811" s="43">
        <v>3444</v>
      </c>
    </row>
    <row r="1812" spans="1:1" s="2" customFormat="1" x14ac:dyDescent="0.25">
      <c r="A1812" s="43">
        <v>3445</v>
      </c>
    </row>
    <row r="1813" spans="1:1" s="2" customFormat="1" x14ac:dyDescent="0.25">
      <c r="A1813" s="43">
        <v>3446</v>
      </c>
    </row>
    <row r="1814" spans="1:1" s="2" customFormat="1" x14ac:dyDescent="0.25">
      <c r="A1814" s="43">
        <v>3447</v>
      </c>
    </row>
    <row r="1815" spans="1:1" s="2" customFormat="1" x14ac:dyDescent="0.25">
      <c r="A1815" s="43">
        <v>3448</v>
      </c>
    </row>
    <row r="1816" spans="1:1" s="2" customFormat="1" x14ac:dyDescent="0.25">
      <c r="A1816" s="43">
        <v>3449</v>
      </c>
    </row>
    <row r="1817" spans="1:1" s="2" customFormat="1" x14ac:dyDescent="0.25">
      <c r="A1817" s="43">
        <v>3450</v>
      </c>
    </row>
    <row r="1818" spans="1:1" s="2" customFormat="1" x14ac:dyDescent="0.25">
      <c r="A1818" s="43">
        <v>3451</v>
      </c>
    </row>
    <row r="1819" spans="1:1" s="2" customFormat="1" x14ac:dyDescent="0.25">
      <c r="A1819" s="43">
        <v>3452</v>
      </c>
    </row>
    <row r="1820" spans="1:1" s="2" customFormat="1" x14ac:dyDescent="0.25">
      <c r="A1820" s="43">
        <v>3453</v>
      </c>
    </row>
    <row r="1821" spans="1:1" s="2" customFormat="1" x14ac:dyDescent="0.25">
      <c r="A1821" s="43">
        <v>3454</v>
      </c>
    </row>
    <row r="1822" spans="1:1" s="2" customFormat="1" x14ac:dyDescent="0.25">
      <c r="A1822" s="43">
        <v>3455</v>
      </c>
    </row>
    <row r="1823" spans="1:1" s="2" customFormat="1" x14ac:dyDescent="0.25">
      <c r="A1823" s="43">
        <v>3456</v>
      </c>
    </row>
    <row r="1824" spans="1:1" s="2" customFormat="1" x14ac:dyDescent="0.25">
      <c r="A1824" s="43">
        <v>3457</v>
      </c>
    </row>
    <row r="1825" spans="1:1" s="2" customFormat="1" x14ac:dyDescent="0.25">
      <c r="A1825" s="43">
        <v>3458</v>
      </c>
    </row>
    <row r="1826" spans="1:1" s="2" customFormat="1" x14ac:dyDescent="0.25">
      <c r="A1826" s="43">
        <v>3459</v>
      </c>
    </row>
    <row r="1827" spans="1:1" s="2" customFormat="1" x14ac:dyDescent="0.25">
      <c r="A1827" s="43">
        <v>3460</v>
      </c>
    </row>
    <row r="1828" spans="1:1" s="2" customFormat="1" x14ac:dyDescent="0.25">
      <c r="A1828" s="43">
        <v>3461</v>
      </c>
    </row>
    <row r="1829" spans="1:1" s="2" customFormat="1" x14ac:dyDescent="0.25">
      <c r="A1829" s="43">
        <v>3462</v>
      </c>
    </row>
    <row r="1830" spans="1:1" s="2" customFormat="1" x14ac:dyDescent="0.25">
      <c r="A1830" s="43">
        <v>3463</v>
      </c>
    </row>
    <row r="1831" spans="1:1" s="2" customFormat="1" x14ac:dyDescent="0.25">
      <c r="A1831" s="43">
        <v>3464</v>
      </c>
    </row>
    <row r="1832" spans="1:1" s="2" customFormat="1" x14ac:dyDescent="0.25">
      <c r="A1832" s="43">
        <v>3465</v>
      </c>
    </row>
    <row r="1833" spans="1:1" s="2" customFormat="1" x14ac:dyDescent="0.25">
      <c r="A1833" s="43">
        <v>3466</v>
      </c>
    </row>
    <row r="1834" spans="1:1" s="2" customFormat="1" x14ac:dyDescent="0.25">
      <c r="A1834" s="43">
        <v>3467</v>
      </c>
    </row>
    <row r="1835" spans="1:1" s="2" customFormat="1" x14ac:dyDescent="0.25">
      <c r="A1835" s="43">
        <v>3468</v>
      </c>
    </row>
    <row r="1836" spans="1:1" s="2" customFormat="1" x14ac:dyDescent="0.25">
      <c r="A1836" s="43">
        <v>3469</v>
      </c>
    </row>
    <row r="1837" spans="1:1" s="2" customFormat="1" x14ac:dyDescent="0.25">
      <c r="A1837" s="43">
        <v>3470</v>
      </c>
    </row>
    <row r="1838" spans="1:1" s="2" customFormat="1" x14ac:dyDescent="0.25">
      <c r="A1838" s="43">
        <v>3471</v>
      </c>
    </row>
    <row r="1839" spans="1:1" s="2" customFormat="1" x14ac:dyDescent="0.25">
      <c r="A1839" s="43">
        <v>3472</v>
      </c>
    </row>
    <row r="1840" spans="1:1" s="2" customFormat="1" x14ac:dyDescent="0.25">
      <c r="A1840" s="43">
        <v>3473</v>
      </c>
    </row>
    <row r="1841" spans="1:1" s="2" customFormat="1" x14ac:dyDescent="0.25">
      <c r="A1841" s="43">
        <v>3474</v>
      </c>
    </row>
    <row r="1842" spans="1:1" s="2" customFormat="1" x14ac:dyDescent="0.25">
      <c r="A1842" s="43">
        <v>3475</v>
      </c>
    </row>
    <row r="1843" spans="1:1" s="2" customFormat="1" x14ac:dyDescent="0.25">
      <c r="A1843" s="43">
        <v>3476</v>
      </c>
    </row>
    <row r="1844" spans="1:1" s="2" customFormat="1" x14ac:dyDescent="0.25">
      <c r="A1844" s="43">
        <v>3477</v>
      </c>
    </row>
    <row r="1845" spans="1:1" s="2" customFormat="1" x14ac:dyDescent="0.25">
      <c r="A1845" s="43">
        <v>3478</v>
      </c>
    </row>
    <row r="1846" spans="1:1" s="2" customFormat="1" x14ac:dyDescent="0.25">
      <c r="A1846" s="43">
        <v>3479</v>
      </c>
    </row>
    <row r="1847" spans="1:1" s="2" customFormat="1" x14ac:dyDescent="0.25">
      <c r="A1847" s="43">
        <v>3480</v>
      </c>
    </row>
    <row r="1848" spans="1:1" s="2" customFormat="1" x14ac:dyDescent="0.25">
      <c r="A1848" s="43">
        <v>3481</v>
      </c>
    </row>
    <row r="1849" spans="1:1" s="2" customFormat="1" x14ac:dyDescent="0.25">
      <c r="A1849" s="43">
        <v>3482</v>
      </c>
    </row>
    <row r="1850" spans="1:1" s="2" customFormat="1" x14ac:dyDescent="0.25">
      <c r="A1850" s="43">
        <v>3483</v>
      </c>
    </row>
    <row r="1851" spans="1:1" s="2" customFormat="1" x14ac:dyDescent="0.25">
      <c r="A1851" s="43">
        <v>3484</v>
      </c>
    </row>
    <row r="1852" spans="1:1" s="2" customFormat="1" x14ac:dyDescent="0.25">
      <c r="A1852" s="43">
        <v>3485</v>
      </c>
    </row>
    <row r="1853" spans="1:1" s="2" customFormat="1" x14ac:dyDescent="0.25">
      <c r="A1853" s="43">
        <v>3486</v>
      </c>
    </row>
    <row r="1854" spans="1:1" s="2" customFormat="1" x14ac:dyDescent="0.25">
      <c r="A1854" s="43">
        <v>3487</v>
      </c>
    </row>
    <row r="1855" spans="1:1" s="2" customFormat="1" x14ac:dyDescent="0.25">
      <c r="A1855" s="43">
        <v>3488</v>
      </c>
    </row>
    <row r="1856" spans="1:1" s="2" customFormat="1" x14ac:dyDescent="0.25">
      <c r="A1856" s="43">
        <v>3489</v>
      </c>
    </row>
    <row r="1857" spans="1:1" s="2" customFormat="1" x14ac:dyDescent="0.25">
      <c r="A1857" s="43">
        <v>3490</v>
      </c>
    </row>
    <row r="1858" spans="1:1" s="2" customFormat="1" x14ac:dyDescent="0.25">
      <c r="A1858" s="43">
        <v>3491</v>
      </c>
    </row>
    <row r="1859" spans="1:1" s="2" customFormat="1" x14ac:dyDescent="0.25">
      <c r="A1859" s="43">
        <v>3492</v>
      </c>
    </row>
    <row r="1860" spans="1:1" s="2" customFormat="1" x14ac:dyDescent="0.25">
      <c r="A1860" s="43">
        <v>3493</v>
      </c>
    </row>
    <row r="1861" spans="1:1" s="2" customFormat="1" x14ac:dyDescent="0.25">
      <c r="A1861" s="43">
        <v>3494</v>
      </c>
    </row>
    <row r="1862" spans="1:1" s="2" customFormat="1" x14ac:dyDescent="0.25">
      <c r="A1862" s="43">
        <v>3495</v>
      </c>
    </row>
    <row r="1863" spans="1:1" s="2" customFormat="1" x14ac:dyDescent="0.25">
      <c r="A1863" s="43">
        <v>3496</v>
      </c>
    </row>
    <row r="1864" spans="1:1" s="2" customFormat="1" x14ac:dyDescent="0.25">
      <c r="A1864" s="43">
        <v>3497</v>
      </c>
    </row>
    <row r="1865" spans="1:1" s="2" customFormat="1" x14ac:dyDescent="0.25">
      <c r="A1865" s="43">
        <v>3498</v>
      </c>
    </row>
    <row r="1866" spans="1:1" s="2" customFormat="1" x14ac:dyDescent="0.25">
      <c r="A1866" s="43">
        <v>3499</v>
      </c>
    </row>
    <row r="1867" spans="1:1" s="2" customFormat="1" x14ac:dyDescent="0.25">
      <c r="A1867" s="43">
        <v>3500</v>
      </c>
    </row>
    <row r="1868" spans="1:1" s="2" customFormat="1" x14ac:dyDescent="0.25">
      <c r="A1868" s="43">
        <v>3501</v>
      </c>
    </row>
    <row r="1869" spans="1:1" s="2" customFormat="1" x14ac:dyDescent="0.25">
      <c r="A1869" s="43">
        <v>3502</v>
      </c>
    </row>
    <row r="1870" spans="1:1" s="2" customFormat="1" x14ac:dyDescent="0.25">
      <c r="A1870" s="43">
        <v>3503</v>
      </c>
    </row>
    <row r="1871" spans="1:1" s="2" customFormat="1" x14ac:dyDescent="0.25">
      <c r="A1871" s="43">
        <v>3504</v>
      </c>
    </row>
    <row r="1872" spans="1:1" s="2" customFormat="1" x14ac:dyDescent="0.25">
      <c r="A1872" s="43">
        <v>3505</v>
      </c>
    </row>
    <row r="1873" spans="1:1" s="2" customFormat="1" x14ac:dyDescent="0.25">
      <c r="A1873" s="43">
        <v>3506</v>
      </c>
    </row>
    <row r="1874" spans="1:1" s="2" customFormat="1" x14ac:dyDescent="0.25">
      <c r="A1874" s="43">
        <v>3507</v>
      </c>
    </row>
    <row r="1875" spans="1:1" s="2" customFormat="1" x14ac:dyDescent="0.25">
      <c r="A1875" s="43">
        <v>3508</v>
      </c>
    </row>
    <row r="1876" spans="1:1" s="2" customFormat="1" x14ac:dyDescent="0.25">
      <c r="A1876" s="43">
        <v>3509</v>
      </c>
    </row>
    <row r="1877" spans="1:1" s="2" customFormat="1" x14ac:dyDescent="0.25">
      <c r="A1877" s="43">
        <v>3510</v>
      </c>
    </row>
    <row r="1878" spans="1:1" s="2" customFormat="1" x14ac:dyDescent="0.25">
      <c r="A1878" s="43">
        <v>3511</v>
      </c>
    </row>
    <row r="1879" spans="1:1" s="2" customFormat="1" x14ac:dyDescent="0.25">
      <c r="A1879" s="43">
        <v>3512</v>
      </c>
    </row>
    <row r="1880" spans="1:1" s="2" customFormat="1" x14ac:dyDescent="0.25">
      <c r="A1880" s="43">
        <v>3513</v>
      </c>
    </row>
    <row r="1881" spans="1:1" s="2" customFormat="1" x14ac:dyDescent="0.25">
      <c r="A1881" s="43">
        <v>3514</v>
      </c>
    </row>
    <row r="1882" spans="1:1" s="2" customFormat="1" x14ac:dyDescent="0.25">
      <c r="A1882" s="43">
        <v>3515</v>
      </c>
    </row>
    <row r="1883" spans="1:1" s="2" customFormat="1" x14ac:dyDescent="0.25">
      <c r="A1883" s="43">
        <v>3516</v>
      </c>
    </row>
    <row r="1884" spans="1:1" s="2" customFormat="1" x14ac:dyDescent="0.25">
      <c r="A1884" s="43">
        <v>3517</v>
      </c>
    </row>
    <row r="1885" spans="1:1" s="2" customFormat="1" x14ac:dyDescent="0.25">
      <c r="A1885" s="43">
        <v>3518</v>
      </c>
    </row>
    <row r="1886" spans="1:1" s="2" customFormat="1" x14ac:dyDescent="0.25">
      <c r="A1886" s="43">
        <v>3519</v>
      </c>
    </row>
    <row r="1887" spans="1:1" s="2" customFormat="1" x14ac:dyDescent="0.25">
      <c r="A1887" s="43">
        <v>3520</v>
      </c>
    </row>
    <row r="1888" spans="1:1" s="2" customFormat="1" x14ac:dyDescent="0.25">
      <c r="A1888" s="43">
        <v>3521</v>
      </c>
    </row>
    <row r="1889" spans="1:1" s="2" customFormat="1" x14ac:dyDescent="0.25">
      <c r="A1889" s="43">
        <v>3522</v>
      </c>
    </row>
    <row r="1890" spans="1:1" s="2" customFormat="1" x14ac:dyDescent="0.25">
      <c r="A1890" s="43">
        <v>3523</v>
      </c>
    </row>
    <row r="1891" spans="1:1" s="2" customFormat="1" x14ac:dyDescent="0.25">
      <c r="A1891" s="43">
        <v>3524</v>
      </c>
    </row>
    <row r="1892" spans="1:1" s="2" customFormat="1" x14ac:dyDescent="0.25">
      <c r="A1892" s="43">
        <v>3525</v>
      </c>
    </row>
    <row r="1893" spans="1:1" s="2" customFormat="1" x14ac:dyDescent="0.25">
      <c r="A1893" s="43">
        <v>3526</v>
      </c>
    </row>
    <row r="1894" spans="1:1" s="2" customFormat="1" x14ac:dyDescent="0.25">
      <c r="A1894" s="43">
        <v>3527</v>
      </c>
    </row>
    <row r="1895" spans="1:1" s="2" customFormat="1" x14ac:dyDescent="0.25">
      <c r="A1895" s="43">
        <v>3528</v>
      </c>
    </row>
    <row r="1896" spans="1:1" s="2" customFormat="1" x14ac:dyDescent="0.25">
      <c r="A1896" s="43">
        <v>3529</v>
      </c>
    </row>
    <row r="1897" spans="1:1" s="2" customFormat="1" x14ac:dyDescent="0.25">
      <c r="A1897" s="43">
        <v>3530</v>
      </c>
    </row>
    <row r="1898" spans="1:1" s="2" customFormat="1" x14ac:dyDescent="0.25">
      <c r="A1898" s="43">
        <v>3531</v>
      </c>
    </row>
    <row r="1899" spans="1:1" s="2" customFormat="1" x14ac:dyDescent="0.25">
      <c r="A1899" s="43">
        <v>3532</v>
      </c>
    </row>
    <row r="1900" spans="1:1" s="2" customFormat="1" x14ac:dyDescent="0.25">
      <c r="A1900" s="43">
        <v>3533</v>
      </c>
    </row>
    <row r="1901" spans="1:1" s="2" customFormat="1" x14ac:dyDescent="0.25">
      <c r="A1901" s="43">
        <v>3534</v>
      </c>
    </row>
    <row r="1902" spans="1:1" s="2" customFormat="1" x14ac:dyDescent="0.25">
      <c r="A1902" s="43">
        <v>3535</v>
      </c>
    </row>
    <row r="1903" spans="1:1" s="2" customFormat="1" x14ac:dyDescent="0.25">
      <c r="A1903" s="43">
        <v>3536</v>
      </c>
    </row>
    <row r="1904" spans="1:1" s="2" customFormat="1" x14ac:dyDescent="0.25">
      <c r="A1904" s="43">
        <v>3537</v>
      </c>
    </row>
    <row r="1905" spans="1:1" s="2" customFormat="1" x14ac:dyDescent="0.25">
      <c r="A1905" s="43">
        <v>3538</v>
      </c>
    </row>
    <row r="1906" spans="1:1" s="2" customFormat="1" x14ac:dyDescent="0.25">
      <c r="A1906" s="43">
        <v>3539</v>
      </c>
    </row>
    <row r="1907" spans="1:1" s="2" customFormat="1" x14ac:dyDescent="0.25">
      <c r="A1907" s="43">
        <v>3540</v>
      </c>
    </row>
    <row r="1908" spans="1:1" s="2" customFormat="1" x14ac:dyDescent="0.25">
      <c r="A1908" s="43">
        <v>3541</v>
      </c>
    </row>
    <row r="1909" spans="1:1" s="2" customFormat="1" x14ac:dyDescent="0.25">
      <c r="A1909" s="43">
        <v>3542</v>
      </c>
    </row>
    <row r="1910" spans="1:1" s="2" customFormat="1" x14ac:dyDescent="0.25">
      <c r="A1910" s="43">
        <v>3543</v>
      </c>
    </row>
    <row r="1911" spans="1:1" s="2" customFormat="1" x14ac:dyDescent="0.25">
      <c r="A1911" s="43">
        <v>3544</v>
      </c>
    </row>
    <row r="1912" spans="1:1" s="2" customFormat="1" x14ac:dyDescent="0.25">
      <c r="A1912" s="43">
        <v>3545</v>
      </c>
    </row>
    <row r="1913" spans="1:1" s="2" customFormat="1" x14ac:dyDescent="0.25">
      <c r="A1913" s="43">
        <v>3546</v>
      </c>
    </row>
    <row r="1914" spans="1:1" s="2" customFormat="1" x14ac:dyDescent="0.25">
      <c r="A1914" s="43">
        <v>3547</v>
      </c>
    </row>
    <row r="1915" spans="1:1" s="2" customFormat="1" x14ac:dyDescent="0.25">
      <c r="A1915" s="43">
        <v>3548</v>
      </c>
    </row>
    <row r="1916" spans="1:1" s="2" customFormat="1" x14ac:dyDescent="0.25">
      <c r="A1916" s="43">
        <v>3549</v>
      </c>
    </row>
    <row r="1917" spans="1:1" s="2" customFormat="1" x14ac:dyDescent="0.25">
      <c r="A1917" s="43">
        <v>3550</v>
      </c>
    </row>
    <row r="1918" spans="1:1" s="2" customFormat="1" x14ac:dyDescent="0.25">
      <c r="A1918" s="43">
        <v>3551</v>
      </c>
    </row>
    <row r="1919" spans="1:1" s="2" customFormat="1" x14ac:dyDescent="0.25">
      <c r="A1919" s="43">
        <v>3552</v>
      </c>
    </row>
    <row r="1920" spans="1:1" s="2" customFormat="1" x14ac:dyDescent="0.25">
      <c r="A1920" s="43">
        <v>3553</v>
      </c>
    </row>
    <row r="1921" spans="1:1" s="2" customFormat="1" x14ac:dyDescent="0.25">
      <c r="A1921" s="43">
        <v>3554</v>
      </c>
    </row>
    <row r="1922" spans="1:1" s="2" customFormat="1" x14ac:dyDescent="0.25">
      <c r="A1922" s="43">
        <v>3555</v>
      </c>
    </row>
    <row r="1923" spans="1:1" s="2" customFormat="1" x14ac:dyDescent="0.25">
      <c r="A1923" s="43">
        <v>3556</v>
      </c>
    </row>
    <row r="1924" spans="1:1" s="2" customFormat="1" x14ac:dyDescent="0.25">
      <c r="A1924" s="43">
        <v>3557</v>
      </c>
    </row>
    <row r="1925" spans="1:1" s="2" customFormat="1" x14ac:dyDescent="0.25">
      <c r="A1925" s="43">
        <v>3558</v>
      </c>
    </row>
    <row r="1926" spans="1:1" s="2" customFormat="1" x14ac:dyDescent="0.25">
      <c r="A1926" s="43">
        <v>3559</v>
      </c>
    </row>
    <row r="1927" spans="1:1" s="2" customFormat="1" x14ac:dyDescent="0.25">
      <c r="A1927" s="43">
        <v>3560</v>
      </c>
    </row>
    <row r="1928" spans="1:1" s="2" customFormat="1" x14ac:dyDescent="0.25">
      <c r="A1928" s="43">
        <v>3561</v>
      </c>
    </row>
    <row r="1929" spans="1:1" s="2" customFormat="1" x14ac:dyDescent="0.25">
      <c r="A1929" s="43">
        <v>3562</v>
      </c>
    </row>
    <row r="1930" spans="1:1" s="2" customFormat="1" x14ac:dyDescent="0.25">
      <c r="A1930" s="43">
        <v>3563</v>
      </c>
    </row>
    <row r="1931" spans="1:1" s="2" customFormat="1" x14ac:dyDescent="0.25">
      <c r="A1931" s="43">
        <v>3564</v>
      </c>
    </row>
    <row r="1932" spans="1:1" s="2" customFormat="1" x14ac:dyDescent="0.25">
      <c r="A1932" s="43">
        <v>3565</v>
      </c>
    </row>
    <row r="1933" spans="1:1" s="2" customFormat="1" x14ac:dyDescent="0.25">
      <c r="A1933" s="43">
        <v>3566</v>
      </c>
    </row>
    <row r="1934" spans="1:1" s="2" customFormat="1" x14ac:dyDescent="0.25">
      <c r="A1934" s="43">
        <v>3567</v>
      </c>
    </row>
    <row r="1935" spans="1:1" s="2" customFormat="1" x14ac:dyDescent="0.25">
      <c r="A1935" s="43">
        <v>3568</v>
      </c>
    </row>
    <row r="1936" spans="1:1" s="2" customFormat="1" x14ac:dyDescent="0.25">
      <c r="A1936" s="43">
        <v>3569</v>
      </c>
    </row>
    <row r="1937" spans="1:1" s="2" customFormat="1" x14ac:dyDescent="0.25">
      <c r="A1937" s="43">
        <v>3570</v>
      </c>
    </row>
    <row r="1938" spans="1:1" s="2" customFormat="1" x14ac:dyDescent="0.25">
      <c r="A1938" s="43">
        <v>3571</v>
      </c>
    </row>
    <row r="1939" spans="1:1" s="2" customFormat="1" x14ac:dyDescent="0.25">
      <c r="A1939" s="43">
        <v>3572</v>
      </c>
    </row>
    <row r="1940" spans="1:1" s="2" customFormat="1" x14ac:dyDescent="0.25">
      <c r="A1940" s="43">
        <v>3573</v>
      </c>
    </row>
    <row r="1941" spans="1:1" s="2" customFormat="1" x14ac:dyDescent="0.25">
      <c r="A1941" s="43">
        <v>3574</v>
      </c>
    </row>
    <row r="1942" spans="1:1" s="2" customFormat="1" x14ac:dyDescent="0.25">
      <c r="A1942" s="43">
        <v>3575</v>
      </c>
    </row>
    <row r="1943" spans="1:1" s="2" customFormat="1" x14ac:dyDescent="0.25">
      <c r="A1943" s="43">
        <v>3576</v>
      </c>
    </row>
    <row r="1944" spans="1:1" s="2" customFormat="1" x14ac:dyDescent="0.25">
      <c r="A1944" s="43">
        <v>3577</v>
      </c>
    </row>
    <row r="1945" spans="1:1" s="2" customFormat="1" x14ac:dyDescent="0.25">
      <c r="A1945" s="43">
        <v>3578</v>
      </c>
    </row>
    <row r="1946" spans="1:1" s="2" customFormat="1" x14ac:dyDescent="0.25">
      <c r="A1946" s="43">
        <v>3579</v>
      </c>
    </row>
    <row r="1947" spans="1:1" s="2" customFormat="1" x14ac:dyDescent="0.25">
      <c r="A1947" s="43">
        <v>3580</v>
      </c>
    </row>
    <row r="1948" spans="1:1" s="2" customFormat="1" x14ac:dyDescent="0.25">
      <c r="A1948" s="43">
        <v>3581</v>
      </c>
    </row>
    <row r="1949" spans="1:1" s="2" customFormat="1" x14ac:dyDescent="0.25">
      <c r="A1949" s="43">
        <v>3582</v>
      </c>
    </row>
    <row r="1950" spans="1:1" s="2" customFormat="1" x14ac:dyDescent="0.25">
      <c r="A1950" s="43">
        <v>3583</v>
      </c>
    </row>
    <row r="1951" spans="1:1" s="2" customFormat="1" x14ac:dyDescent="0.25">
      <c r="A1951" s="43">
        <v>3584</v>
      </c>
    </row>
    <row r="1952" spans="1:1" s="2" customFormat="1" x14ac:dyDescent="0.25">
      <c r="A1952" s="43">
        <v>3585</v>
      </c>
    </row>
    <row r="1953" spans="1:1" s="2" customFormat="1" x14ac:dyDescent="0.25">
      <c r="A1953" s="43">
        <v>3586</v>
      </c>
    </row>
    <row r="1954" spans="1:1" s="2" customFormat="1" x14ac:dyDescent="0.25">
      <c r="A1954" s="43">
        <v>3587</v>
      </c>
    </row>
    <row r="1955" spans="1:1" s="2" customFormat="1" x14ac:dyDescent="0.25">
      <c r="A1955" s="43">
        <v>3588</v>
      </c>
    </row>
    <row r="1956" spans="1:1" s="2" customFormat="1" x14ac:dyDescent="0.25">
      <c r="A1956" s="43">
        <v>3589</v>
      </c>
    </row>
    <row r="1957" spans="1:1" s="2" customFormat="1" x14ac:dyDescent="0.25">
      <c r="A1957" s="43">
        <v>3590</v>
      </c>
    </row>
    <row r="1958" spans="1:1" s="2" customFormat="1" x14ac:dyDescent="0.25">
      <c r="A1958" s="43">
        <v>3591</v>
      </c>
    </row>
    <row r="1959" spans="1:1" s="2" customFormat="1" x14ac:dyDescent="0.25">
      <c r="A1959" s="43">
        <v>3592</v>
      </c>
    </row>
    <row r="1960" spans="1:1" s="2" customFormat="1" x14ac:dyDescent="0.25">
      <c r="A1960" s="43">
        <v>3593</v>
      </c>
    </row>
    <row r="1961" spans="1:1" s="2" customFormat="1" x14ac:dyDescent="0.25">
      <c r="A1961" s="43">
        <v>3594</v>
      </c>
    </row>
    <row r="1962" spans="1:1" s="2" customFormat="1" x14ac:dyDescent="0.25">
      <c r="A1962" s="43">
        <v>3595</v>
      </c>
    </row>
    <row r="1963" spans="1:1" s="2" customFormat="1" x14ac:dyDescent="0.25">
      <c r="A1963" s="43">
        <v>3596</v>
      </c>
    </row>
    <row r="1964" spans="1:1" s="2" customFormat="1" x14ac:dyDescent="0.25">
      <c r="A1964" s="43">
        <v>3597</v>
      </c>
    </row>
    <row r="1965" spans="1:1" s="2" customFormat="1" x14ac:dyDescent="0.25">
      <c r="A1965" s="43">
        <v>3598</v>
      </c>
    </row>
    <row r="1966" spans="1:1" s="2" customFormat="1" x14ac:dyDescent="0.25">
      <c r="A1966" s="43">
        <v>3599</v>
      </c>
    </row>
    <row r="1967" spans="1:1" s="2" customFormat="1" x14ac:dyDescent="0.25">
      <c r="A1967" s="43">
        <v>3600</v>
      </c>
    </row>
    <row r="1968" spans="1:1" s="2" customFormat="1" x14ac:dyDescent="0.25">
      <c r="A1968" s="43">
        <v>3601</v>
      </c>
    </row>
    <row r="1969" spans="1:1" s="2" customFormat="1" x14ac:dyDescent="0.25">
      <c r="A1969" s="43">
        <v>3602</v>
      </c>
    </row>
    <row r="1970" spans="1:1" s="2" customFormat="1" x14ac:dyDescent="0.25">
      <c r="A1970" s="43">
        <v>3603</v>
      </c>
    </row>
    <row r="1971" spans="1:1" s="2" customFormat="1" x14ac:dyDescent="0.25">
      <c r="A1971" s="43">
        <v>3604</v>
      </c>
    </row>
    <row r="1972" spans="1:1" s="2" customFormat="1" x14ac:dyDescent="0.25">
      <c r="A1972" s="43">
        <v>3605</v>
      </c>
    </row>
    <row r="1973" spans="1:1" s="2" customFormat="1" x14ac:dyDescent="0.25">
      <c r="A1973" s="43">
        <v>3606</v>
      </c>
    </row>
    <row r="1974" spans="1:1" s="2" customFormat="1" x14ac:dyDescent="0.25">
      <c r="A1974" s="43">
        <v>3607</v>
      </c>
    </row>
    <row r="1975" spans="1:1" s="2" customFormat="1" x14ac:dyDescent="0.25">
      <c r="A1975" s="43">
        <v>3608</v>
      </c>
    </row>
    <row r="1976" spans="1:1" s="2" customFormat="1" x14ac:dyDescent="0.25">
      <c r="A1976" s="43">
        <v>3609</v>
      </c>
    </row>
    <row r="1977" spans="1:1" s="2" customFormat="1" x14ac:dyDescent="0.25">
      <c r="A1977" s="43">
        <v>3610</v>
      </c>
    </row>
    <row r="1978" spans="1:1" s="2" customFormat="1" x14ac:dyDescent="0.25">
      <c r="A1978" s="43">
        <v>3611</v>
      </c>
    </row>
    <row r="1979" spans="1:1" s="2" customFormat="1" x14ac:dyDescent="0.25">
      <c r="A1979" s="43">
        <v>3612</v>
      </c>
    </row>
    <row r="1980" spans="1:1" s="2" customFormat="1" x14ac:dyDescent="0.25">
      <c r="A1980" s="43">
        <v>3613</v>
      </c>
    </row>
    <row r="1981" spans="1:1" s="2" customFormat="1" x14ac:dyDescent="0.25">
      <c r="A1981" s="43">
        <v>3614</v>
      </c>
    </row>
    <row r="1982" spans="1:1" s="2" customFormat="1" x14ac:dyDescent="0.25">
      <c r="A1982" s="43">
        <v>3615</v>
      </c>
    </row>
    <row r="1983" spans="1:1" s="2" customFormat="1" x14ac:dyDescent="0.25">
      <c r="A1983" s="43">
        <v>3616</v>
      </c>
    </row>
    <row r="1984" spans="1:1" s="2" customFormat="1" x14ac:dyDescent="0.25">
      <c r="A1984" s="43">
        <v>3617</v>
      </c>
    </row>
    <row r="1985" spans="1:1" s="2" customFormat="1" x14ac:dyDescent="0.25">
      <c r="A1985" s="43">
        <v>3618</v>
      </c>
    </row>
    <row r="1986" spans="1:1" s="2" customFormat="1" x14ac:dyDescent="0.25">
      <c r="A1986" s="43">
        <v>3619</v>
      </c>
    </row>
    <row r="1987" spans="1:1" s="2" customFormat="1" x14ac:dyDescent="0.25">
      <c r="A1987" s="43">
        <v>3620</v>
      </c>
    </row>
    <row r="1988" spans="1:1" s="2" customFormat="1" x14ac:dyDescent="0.25">
      <c r="A1988" s="43">
        <v>3621</v>
      </c>
    </row>
    <row r="1989" spans="1:1" s="2" customFormat="1" x14ac:dyDescent="0.25">
      <c r="A1989" s="43">
        <v>3622</v>
      </c>
    </row>
    <row r="1990" spans="1:1" s="2" customFormat="1" x14ac:dyDescent="0.25">
      <c r="A1990" s="43">
        <v>3623</v>
      </c>
    </row>
    <row r="1991" spans="1:1" s="2" customFormat="1" x14ac:dyDescent="0.25">
      <c r="A1991" s="43">
        <v>3624</v>
      </c>
    </row>
    <row r="1992" spans="1:1" s="2" customFormat="1" x14ac:dyDescent="0.25">
      <c r="A1992" s="43">
        <v>3625</v>
      </c>
    </row>
    <row r="1993" spans="1:1" s="2" customFormat="1" x14ac:dyDescent="0.25">
      <c r="A1993" s="43">
        <v>3626</v>
      </c>
    </row>
    <row r="1994" spans="1:1" s="2" customFormat="1" x14ac:dyDescent="0.25">
      <c r="A1994" s="43">
        <v>3627</v>
      </c>
    </row>
    <row r="1995" spans="1:1" s="2" customFormat="1" x14ac:dyDescent="0.25">
      <c r="A1995" s="43">
        <v>3628</v>
      </c>
    </row>
    <row r="1996" spans="1:1" s="2" customFormat="1" x14ac:dyDescent="0.25">
      <c r="A1996" s="43">
        <v>3629</v>
      </c>
    </row>
    <row r="1997" spans="1:1" s="2" customFormat="1" x14ac:dyDescent="0.25">
      <c r="A1997" s="43">
        <v>3630</v>
      </c>
    </row>
    <row r="1998" spans="1:1" s="2" customFormat="1" x14ac:dyDescent="0.25">
      <c r="A1998" s="43">
        <v>3631</v>
      </c>
    </row>
    <row r="1999" spans="1:1" s="2" customFormat="1" x14ac:dyDescent="0.25">
      <c r="A1999" s="43">
        <v>3632</v>
      </c>
    </row>
    <row r="2000" spans="1:1" s="2" customFormat="1" x14ac:dyDescent="0.25">
      <c r="A2000" s="43">
        <v>3633</v>
      </c>
    </row>
    <row r="2001" spans="1:1" s="2" customFormat="1" x14ac:dyDescent="0.25">
      <c r="A2001" s="43">
        <v>3634</v>
      </c>
    </row>
    <row r="2002" spans="1:1" s="2" customFormat="1" x14ac:dyDescent="0.25">
      <c r="A2002" s="43">
        <v>3635</v>
      </c>
    </row>
    <row r="2003" spans="1:1" s="2" customFormat="1" x14ac:dyDescent="0.25">
      <c r="A2003" s="43">
        <v>3636</v>
      </c>
    </row>
    <row r="2004" spans="1:1" s="2" customFormat="1" x14ac:dyDescent="0.25">
      <c r="A2004" s="43">
        <v>3637</v>
      </c>
    </row>
    <row r="2005" spans="1:1" s="2" customFormat="1" x14ac:dyDescent="0.25">
      <c r="A2005" s="43">
        <v>3638</v>
      </c>
    </row>
    <row r="2006" spans="1:1" s="2" customFormat="1" x14ac:dyDescent="0.25">
      <c r="A2006" s="43">
        <v>3639</v>
      </c>
    </row>
    <row r="2007" spans="1:1" s="2" customFormat="1" x14ac:dyDescent="0.25">
      <c r="A2007" s="43">
        <v>3640</v>
      </c>
    </row>
    <row r="2008" spans="1:1" s="2" customFormat="1" x14ac:dyDescent="0.25">
      <c r="A2008" s="43">
        <v>3641</v>
      </c>
    </row>
    <row r="2009" spans="1:1" s="2" customFormat="1" x14ac:dyDescent="0.25">
      <c r="A2009" s="43">
        <v>3642</v>
      </c>
    </row>
    <row r="2010" spans="1:1" s="2" customFormat="1" x14ac:dyDescent="0.25">
      <c r="A2010" s="43">
        <v>3643</v>
      </c>
    </row>
    <row r="2011" spans="1:1" s="2" customFormat="1" x14ac:dyDescent="0.25">
      <c r="A2011" s="43">
        <v>3644</v>
      </c>
    </row>
    <row r="2012" spans="1:1" s="2" customFormat="1" x14ac:dyDescent="0.25">
      <c r="A2012" s="43">
        <v>3645</v>
      </c>
    </row>
    <row r="2013" spans="1:1" s="2" customFormat="1" x14ac:dyDescent="0.25">
      <c r="A2013" s="43">
        <v>3646</v>
      </c>
    </row>
    <row r="2014" spans="1:1" s="2" customFormat="1" x14ac:dyDescent="0.25">
      <c r="A2014" s="43">
        <v>3647</v>
      </c>
    </row>
    <row r="2015" spans="1:1" s="2" customFormat="1" x14ac:dyDescent="0.25">
      <c r="A2015" s="43">
        <v>3648</v>
      </c>
    </row>
    <row r="2016" spans="1:1" s="2" customFormat="1" x14ac:dyDescent="0.25">
      <c r="A2016" s="43">
        <v>3649</v>
      </c>
    </row>
    <row r="2017" spans="1:1" s="2" customFormat="1" x14ac:dyDescent="0.25">
      <c r="A2017" s="43">
        <v>3650</v>
      </c>
    </row>
    <row r="2018" spans="1:1" s="2" customFormat="1" x14ac:dyDescent="0.25">
      <c r="A2018" s="43">
        <v>3651</v>
      </c>
    </row>
    <row r="2019" spans="1:1" s="2" customFormat="1" x14ac:dyDescent="0.25">
      <c r="A2019" s="43">
        <v>3652</v>
      </c>
    </row>
    <row r="2020" spans="1:1" s="2" customFormat="1" x14ac:dyDescent="0.25">
      <c r="A2020" s="43">
        <v>3653</v>
      </c>
    </row>
    <row r="2021" spans="1:1" s="2" customFormat="1" x14ac:dyDescent="0.25">
      <c r="A2021" s="43">
        <v>3654</v>
      </c>
    </row>
    <row r="2022" spans="1:1" s="2" customFormat="1" x14ac:dyDescent="0.25">
      <c r="A2022" s="43">
        <v>3655</v>
      </c>
    </row>
    <row r="2023" spans="1:1" s="2" customFormat="1" x14ac:dyDescent="0.25">
      <c r="A2023" s="43">
        <v>3656</v>
      </c>
    </row>
    <row r="2024" spans="1:1" s="2" customFormat="1" x14ac:dyDescent="0.25">
      <c r="A2024" s="43">
        <v>3657</v>
      </c>
    </row>
    <row r="2025" spans="1:1" s="2" customFormat="1" x14ac:dyDescent="0.25">
      <c r="A2025" s="43">
        <v>3658</v>
      </c>
    </row>
    <row r="2026" spans="1:1" s="2" customFormat="1" x14ac:dyDescent="0.25">
      <c r="A2026" s="43">
        <v>3659</v>
      </c>
    </row>
    <row r="2027" spans="1:1" s="2" customFormat="1" x14ac:dyDescent="0.25">
      <c r="A2027" s="43">
        <v>3660</v>
      </c>
    </row>
    <row r="2028" spans="1:1" s="2" customFormat="1" x14ac:dyDescent="0.25">
      <c r="A2028" s="43">
        <v>3661</v>
      </c>
    </row>
    <row r="2029" spans="1:1" s="2" customFormat="1" x14ac:dyDescent="0.25">
      <c r="A2029" s="43">
        <v>3662</v>
      </c>
    </row>
    <row r="2030" spans="1:1" s="2" customFormat="1" x14ac:dyDescent="0.25">
      <c r="A2030" s="43">
        <v>3663</v>
      </c>
    </row>
    <row r="2031" spans="1:1" s="2" customFormat="1" x14ac:dyDescent="0.25">
      <c r="A2031" s="43">
        <v>3664</v>
      </c>
    </row>
    <row r="2032" spans="1:1" s="2" customFormat="1" x14ac:dyDescent="0.25">
      <c r="A2032" s="43">
        <v>3665</v>
      </c>
    </row>
    <row r="2033" spans="1:1" s="2" customFormat="1" x14ac:dyDescent="0.25">
      <c r="A2033" s="43">
        <v>3666</v>
      </c>
    </row>
    <row r="2034" spans="1:1" s="2" customFormat="1" x14ac:dyDescent="0.25">
      <c r="A2034" s="43">
        <v>3667</v>
      </c>
    </row>
    <row r="2035" spans="1:1" s="2" customFormat="1" x14ac:dyDescent="0.25">
      <c r="A2035" s="43">
        <v>3668</v>
      </c>
    </row>
    <row r="2036" spans="1:1" s="2" customFormat="1" x14ac:dyDescent="0.25">
      <c r="A2036" s="43">
        <v>3669</v>
      </c>
    </row>
    <row r="2037" spans="1:1" s="2" customFormat="1" x14ac:dyDescent="0.25">
      <c r="A2037" s="43">
        <v>3670</v>
      </c>
    </row>
    <row r="2038" spans="1:1" s="2" customFormat="1" x14ac:dyDescent="0.25">
      <c r="A2038" s="43">
        <v>3671</v>
      </c>
    </row>
    <row r="2039" spans="1:1" s="2" customFormat="1" x14ac:dyDescent="0.25">
      <c r="A2039" s="43">
        <v>3672</v>
      </c>
    </row>
    <row r="2040" spans="1:1" s="2" customFormat="1" x14ac:dyDescent="0.25">
      <c r="A2040" s="43">
        <v>3673</v>
      </c>
    </row>
    <row r="2041" spans="1:1" s="2" customFormat="1" x14ac:dyDescent="0.25">
      <c r="A2041" s="43">
        <v>3674</v>
      </c>
    </row>
    <row r="2042" spans="1:1" s="2" customFormat="1" x14ac:dyDescent="0.25">
      <c r="A2042" s="43">
        <v>3675</v>
      </c>
    </row>
    <row r="2043" spans="1:1" s="2" customFormat="1" x14ac:dyDescent="0.25">
      <c r="A2043" s="43">
        <v>3676</v>
      </c>
    </row>
    <row r="2044" spans="1:1" s="2" customFormat="1" x14ac:dyDescent="0.25">
      <c r="A2044" s="43">
        <v>3677</v>
      </c>
    </row>
    <row r="2045" spans="1:1" s="2" customFormat="1" x14ac:dyDescent="0.25">
      <c r="A2045" s="43">
        <v>3678</v>
      </c>
    </row>
    <row r="2046" spans="1:1" s="2" customFormat="1" x14ac:dyDescent="0.25">
      <c r="A2046" s="43">
        <v>3679</v>
      </c>
    </row>
    <row r="2047" spans="1:1" s="2" customFormat="1" x14ac:dyDescent="0.25">
      <c r="A2047" s="43">
        <v>3680</v>
      </c>
    </row>
    <row r="2048" spans="1:1" s="2" customFormat="1" x14ac:dyDescent="0.25">
      <c r="A2048" s="43">
        <v>3681</v>
      </c>
    </row>
    <row r="2049" spans="1:1" s="2" customFormat="1" x14ac:dyDescent="0.25">
      <c r="A2049" s="43">
        <v>3682</v>
      </c>
    </row>
    <row r="2050" spans="1:1" s="2" customFormat="1" x14ac:dyDescent="0.25">
      <c r="A2050" s="43">
        <v>3683</v>
      </c>
    </row>
    <row r="2051" spans="1:1" s="2" customFormat="1" x14ac:dyDescent="0.25">
      <c r="A2051" s="43">
        <v>3684</v>
      </c>
    </row>
    <row r="2052" spans="1:1" s="2" customFormat="1" x14ac:dyDescent="0.25">
      <c r="A2052" s="43">
        <v>3685</v>
      </c>
    </row>
    <row r="2053" spans="1:1" s="2" customFormat="1" x14ac:dyDescent="0.25">
      <c r="A2053" s="43">
        <v>3686</v>
      </c>
    </row>
    <row r="2054" spans="1:1" s="2" customFormat="1" x14ac:dyDescent="0.25">
      <c r="A2054" s="43">
        <v>3687</v>
      </c>
    </row>
    <row r="2055" spans="1:1" s="2" customFormat="1" x14ac:dyDescent="0.25">
      <c r="A2055" s="43">
        <v>3688</v>
      </c>
    </row>
    <row r="2056" spans="1:1" s="2" customFormat="1" x14ac:dyDescent="0.25">
      <c r="A2056" s="43">
        <v>3689</v>
      </c>
    </row>
    <row r="2057" spans="1:1" s="2" customFormat="1" x14ac:dyDescent="0.25">
      <c r="A2057" s="43">
        <v>3690</v>
      </c>
    </row>
    <row r="2058" spans="1:1" s="2" customFormat="1" x14ac:dyDescent="0.25">
      <c r="A2058" s="43">
        <v>3691</v>
      </c>
    </row>
    <row r="2059" spans="1:1" s="2" customFormat="1" x14ac:dyDescent="0.25">
      <c r="A2059" s="43">
        <v>3692</v>
      </c>
    </row>
    <row r="2060" spans="1:1" s="2" customFormat="1" x14ac:dyDescent="0.25">
      <c r="A2060" s="43">
        <v>3693</v>
      </c>
    </row>
    <row r="2061" spans="1:1" s="2" customFormat="1" x14ac:dyDescent="0.25">
      <c r="A2061" s="43">
        <v>3694</v>
      </c>
    </row>
    <row r="2062" spans="1:1" s="2" customFormat="1" x14ac:dyDescent="0.25">
      <c r="A2062" s="43">
        <v>3695</v>
      </c>
    </row>
    <row r="2063" spans="1:1" s="2" customFormat="1" x14ac:dyDescent="0.25">
      <c r="A2063" s="43">
        <v>3696</v>
      </c>
    </row>
    <row r="2064" spans="1:1" s="2" customFormat="1" x14ac:dyDescent="0.25">
      <c r="A2064" s="43">
        <v>3697</v>
      </c>
    </row>
    <row r="2065" spans="1:1" s="2" customFormat="1" x14ac:dyDescent="0.25">
      <c r="A2065" s="43">
        <v>3698</v>
      </c>
    </row>
    <row r="2066" spans="1:1" s="2" customFormat="1" x14ac:dyDescent="0.25">
      <c r="A2066" s="43">
        <v>3699</v>
      </c>
    </row>
    <row r="2067" spans="1:1" s="2" customFormat="1" x14ac:dyDescent="0.25">
      <c r="A2067" s="43">
        <v>3700</v>
      </c>
    </row>
    <row r="2068" spans="1:1" s="2" customFormat="1" x14ac:dyDescent="0.25">
      <c r="A2068" s="43">
        <v>3701</v>
      </c>
    </row>
    <row r="2069" spans="1:1" s="2" customFormat="1" x14ac:dyDescent="0.25">
      <c r="A2069" s="43">
        <v>3702</v>
      </c>
    </row>
    <row r="2070" spans="1:1" s="2" customFormat="1" x14ac:dyDescent="0.25">
      <c r="A2070" s="43">
        <v>3703</v>
      </c>
    </row>
    <row r="2071" spans="1:1" s="2" customFormat="1" x14ac:dyDescent="0.25">
      <c r="A2071" s="43">
        <v>3704</v>
      </c>
    </row>
    <row r="2072" spans="1:1" s="2" customFormat="1" x14ac:dyDescent="0.25">
      <c r="A2072" s="43">
        <v>3705</v>
      </c>
    </row>
    <row r="2073" spans="1:1" s="2" customFormat="1" x14ac:dyDescent="0.25">
      <c r="A2073" s="43">
        <v>3706</v>
      </c>
    </row>
    <row r="2074" spans="1:1" s="2" customFormat="1" x14ac:dyDescent="0.25">
      <c r="A2074" s="43">
        <v>3707</v>
      </c>
    </row>
    <row r="2075" spans="1:1" s="2" customFormat="1" x14ac:dyDescent="0.25">
      <c r="A2075" s="43">
        <v>3708</v>
      </c>
    </row>
    <row r="2076" spans="1:1" s="2" customFormat="1" x14ac:dyDescent="0.25">
      <c r="A2076" s="43">
        <v>3709</v>
      </c>
    </row>
    <row r="2077" spans="1:1" s="2" customFormat="1" x14ac:dyDescent="0.25">
      <c r="A2077" s="43">
        <v>3710</v>
      </c>
    </row>
    <row r="2078" spans="1:1" s="2" customFormat="1" x14ac:dyDescent="0.25">
      <c r="A2078" s="43">
        <v>3711</v>
      </c>
    </row>
    <row r="2079" spans="1:1" s="2" customFormat="1" x14ac:dyDescent="0.25">
      <c r="A2079" s="43">
        <v>3712</v>
      </c>
    </row>
    <row r="2080" spans="1:1" s="2" customFormat="1" x14ac:dyDescent="0.25">
      <c r="A2080" s="43">
        <v>3713</v>
      </c>
    </row>
    <row r="2081" spans="1:1" s="2" customFormat="1" x14ac:dyDescent="0.25">
      <c r="A2081" s="43">
        <v>3714</v>
      </c>
    </row>
    <row r="2082" spans="1:1" s="2" customFormat="1" x14ac:dyDescent="0.25">
      <c r="A2082" s="43">
        <v>3715</v>
      </c>
    </row>
    <row r="2083" spans="1:1" s="2" customFormat="1" x14ac:dyDescent="0.25">
      <c r="A2083" s="43">
        <v>3716</v>
      </c>
    </row>
    <row r="2084" spans="1:1" s="2" customFormat="1" x14ac:dyDescent="0.25">
      <c r="A2084" s="43">
        <v>3717</v>
      </c>
    </row>
    <row r="2085" spans="1:1" s="2" customFormat="1" x14ac:dyDescent="0.25">
      <c r="A2085" s="43">
        <v>3718</v>
      </c>
    </row>
    <row r="2086" spans="1:1" s="2" customFormat="1" x14ac:dyDescent="0.25">
      <c r="A2086" s="43">
        <v>3719</v>
      </c>
    </row>
    <row r="2087" spans="1:1" s="2" customFormat="1" x14ac:dyDescent="0.25">
      <c r="A2087" s="43">
        <v>3720</v>
      </c>
    </row>
    <row r="2088" spans="1:1" s="2" customFormat="1" x14ac:dyDescent="0.25">
      <c r="A2088" s="43">
        <v>3721</v>
      </c>
    </row>
    <row r="2089" spans="1:1" s="2" customFormat="1" x14ac:dyDescent="0.25">
      <c r="A2089" s="43">
        <v>3722</v>
      </c>
    </row>
    <row r="2090" spans="1:1" s="2" customFormat="1" x14ac:dyDescent="0.25">
      <c r="A2090" s="43">
        <v>3723</v>
      </c>
    </row>
    <row r="2091" spans="1:1" s="2" customFormat="1" x14ac:dyDescent="0.25">
      <c r="A2091" s="43">
        <v>3724</v>
      </c>
    </row>
    <row r="2092" spans="1:1" s="2" customFormat="1" x14ac:dyDescent="0.25">
      <c r="A2092" s="43">
        <v>3725</v>
      </c>
    </row>
    <row r="2093" spans="1:1" s="2" customFormat="1" x14ac:dyDescent="0.25">
      <c r="A2093" s="43">
        <v>3726</v>
      </c>
    </row>
    <row r="2094" spans="1:1" s="2" customFormat="1" x14ac:dyDescent="0.25">
      <c r="A2094" s="43">
        <v>3727</v>
      </c>
    </row>
    <row r="2095" spans="1:1" s="2" customFormat="1" x14ac:dyDescent="0.25">
      <c r="A2095" s="43">
        <v>3728</v>
      </c>
    </row>
    <row r="2096" spans="1:1" s="2" customFormat="1" x14ac:dyDescent="0.25">
      <c r="A2096" s="43">
        <v>3729</v>
      </c>
    </row>
    <row r="2097" spans="1:1" s="2" customFormat="1" x14ac:dyDescent="0.25">
      <c r="A2097" s="43">
        <v>3730</v>
      </c>
    </row>
    <row r="2098" spans="1:1" s="2" customFormat="1" x14ac:dyDescent="0.25">
      <c r="A2098" s="43">
        <v>3731</v>
      </c>
    </row>
    <row r="2099" spans="1:1" s="2" customFormat="1" x14ac:dyDescent="0.25">
      <c r="A2099" s="43">
        <v>3732</v>
      </c>
    </row>
    <row r="2100" spans="1:1" s="2" customFormat="1" x14ac:dyDescent="0.25">
      <c r="A2100" s="43">
        <v>3733</v>
      </c>
    </row>
    <row r="2101" spans="1:1" s="2" customFormat="1" x14ac:dyDescent="0.25">
      <c r="A2101" s="43">
        <v>3734</v>
      </c>
    </row>
    <row r="2102" spans="1:1" s="2" customFormat="1" x14ac:dyDescent="0.25">
      <c r="A2102" s="43">
        <v>3735</v>
      </c>
    </row>
    <row r="2103" spans="1:1" s="2" customFormat="1" x14ac:dyDescent="0.25">
      <c r="A2103" s="43">
        <v>3736</v>
      </c>
    </row>
    <row r="2104" spans="1:1" s="2" customFormat="1" x14ac:dyDescent="0.25">
      <c r="A2104" s="43">
        <v>3737</v>
      </c>
    </row>
    <row r="2105" spans="1:1" s="2" customFormat="1" x14ac:dyDescent="0.25">
      <c r="A2105" s="43">
        <v>3738</v>
      </c>
    </row>
    <row r="2106" spans="1:1" s="2" customFormat="1" x14ac:dyDescent="0.25">
      <c r="A2106" s="43">
        <v>3739</v>
      </c>
    </row>
    <row r="2107" spans="1:1" s="2" customFormat="1" x14ac:dyDescent="0.25">
      <c r="A2107" s="43">
        <v>3740</v>
      </c>
    </row>
    <row r="2108" spans="1:1" s="2" customFormat="1" x14ac:dyDescent="0.25">
      <c r="A2108" s="43">
        <v>3741</v>
      </c>
    </row>
    <row r="2109" spans="1:1" s="2" customFormat="1" x14ac:dyDescent="0.25">
      <c r="A2109" s="43">
        <v>3742</v>
      </c>
    </row>
    <row r="2110" spans="1:1" s="2" customFormat="1" x14ac:dyDescent="0.25">
      <c r="A2110" s="43">
        <v>3743</v>
      </c>
    </row>
    <row r="2111" spans="1:1" s="2" customFormat="1" x14ac:dyDescent="0.25">
      <c r="A2111" s="43">
        <v>3744</v>
      </c>
    </row>
    <row r="2112" spans="1:1" s="2" customFormat="1" x14ac:dyDescent="0.25">
      <c r="A2112" s="43">
        <v>3745</v>
      </c>
    </row>
    <row r="2113" spans="1:1" s="2" customFormat="1" x14ac:dyDescent="0.25">
      <c r="A2113" s="43">
        <v>3746</v>
      </c>
    </row>
    <row r="2114" spans="1:1" s="2" customFormat="1" x14ac:dyDescent="0.25">
      <c r="A2114" s="43">
        <v>3747</v>
      </c>
    </row>
    <row r="2115" spans="1:1" s="2" customFormat="1" x14ac:dyDescent="0.25">
      <c r="A2115" s="43">
        <v>3748</v>
      </c>
    </row>
    <row r="2116" spans="1:1" s="2" customFormat="1" x14ac:dyDescent="0.25">
      <c r="A2116" s="43">
        <v>3749</v>
      </c>
    </row>
    <row r="2117" spans="1:1" s="2" customFormat="1" x14ac:dyDescent="0.25">
      <c r="A2117" s="43">
        <v>3750</v>
      </c>
    </row>
    <row r="2118" spans="1:1" s="2" customFormat="1" x14ac:dyDescent="0.25">
      <c r="A2118" s="43">
        <v>3751</v>
      </c>
    </row>
    <row r="2119" spans="1:1" s="2" customFormat="1" x14ac:dyDescent="0.25">
      <c r="A2119" s="43">
        <v>3752</v>
      </c>
    </row>
    <row r="2120" spans="1:1" s="2" customFormat="1" x14ac:dyDescent="0.25">
      <c r="A2120" s="43">
        <v>3753</v>
      </c>
    </row>
    <row r="2121" spans="1:1" s="2" customFormat="1" x14ac:dyDescent="0.25">
      <c r="A2121" s="43">
        <v>3754</v>
      </c>
    </row>
    <row r="2122" spans="1:1" s="2" customFormat="1" x14ac:dyDescent="0.25">
      <c r="A2122" s="43">
        <v>3755</v>
      </c>
    </row>
    <row r="2123" spans="1:1" s="2" customFormat="1" x14ac:dyDescent="0.25">
      <c r="A2123" s="43">
        <v>3756</v>
      </c>
    </row>
    <row r="2124" spans="1:1" s="2" customFormat="1" x14ac:dyDescent="0.25">
      <c r="A2124" s="43">
        <v>3757</v>
      </c>
    </row>
    <row r="2125" spans="1:1" s="2" customFormat="1" x14ac:dyDescent="0.25">
      <c r="A2125" s="43">
        <v>3758</v>
      </c>
    </row>
    <row r="2126" spans="1:1" s="2" customFormat="1" x14ac:dyDescent="0.25">
      <c r="A2126" s="43">
        <v>3759</v>
      </c>
    </row>
    <row r="2127" spans="1:1" s="2" customFormat="1" x14ac:dyDescent="0.25">
      <c r="A2127" s="43">
        <v>3760</v>
      </c>
    </row>
    <row r="2128" spans="1:1" s="2" customFormat="1" x14ac:dyDescent="0.25">
      <c r="A2128" s="43">
        <v>3761</v>
      </c>
    </row>
    <row r="2129" spans="1:1" s="2" customFormat="1" x14ac:dyDescent="0.25">
      <c r="A2129" s="43">
        <v>3762</v>
      </c>
    </row>
    <row r="2130" spans="1:1" s="2" customFormat="1" x14ac:dyDescent="0.25">
      <c r="A2130" s="43">
        <v>3763</v>
      </c>
    </row>
    <row r="2131" spans="1:1" s="2" customFormat="1" x14ac:dyDescent="0.25">
      <c r="A2131" s="43">
        <v>3764</v>
      </c>
    </row>
    <row r="2132" spans="1:1" s="2" customFormat="1" x14ac:dyDescent="0.25">
      <c r="A2132" s="43">
        <v>3765</v>
      </c>
    </row>
    <row r="2133" spans="1:1" s="2" customFormat="1" x14ac:dyDescent="0.25">
      <c r="A2133" s="43">
        <v>3766</v>
      </c>
    </row>
    <row r="2134" spans="1:1" s="2" customFormat="1" x14ac:dyDescent="0.25">
      <c r="A2134" s="43">
        <v>3767</v>
      </c>
    </row>
    <row r="2135" spans="1:1" s="2" customFormat="1" x14ac:dyDescent="0.25">
      <c r="A2135" s="43">
        <v>3768</v>
      </c>
    </row>
    <row r="2136" spans="1:1" s="2" customFormat="1" x14ac:dyDescent="0.25">
      <c r="A2136" s="43">
        <v>3769</v>
      </c>
    </row>
    <row r="2137" spans="1:1" s="2" customFormat="1" x14ac:dyDescent="0.25">
      <c r="A2137" s="43">
        <v>3770</v>
      </c>
    </row>
    <row r="2138" spans="1:1" s="2" customFormat="1" x14ac:dyDescent="0.25">
      <c r="A2138" s="43">
        <v>3771</v>
      </c>
    </row>
    <row r="2139" spans="1:1" s="2" customFormat="1" x14ac:dyDescent="0.25">
      <c r="A2139" s="43">
        <v>3772</v>
      </c>
    </row>
    <row r="2140" spans="1:1" s="2" customFormat="1" x14ac:dyDescent="0.25">
      <c r="A2140" s="43">
        <v>3773</v>
      </c>
    </row>
    <row r="2141" spans="1:1" s="2" customFormat="1" x14ac:dyDescent="0.25">
      <c r="A2141" s="43">
        <v>3774</v>
      </c>
    </row>
    <row r="2142" spans="1:1" s="2" customFormat="1" x14ac:dyDescent="0.25">
      <c r="A2142" s="43">
        <v>3775</v>
      </c>
    </row>
    <row r="2143" spans="1:1" s="2" customFormat="1" x14ac:dyDescent="0.25">
      <c r="A2143" s="43">
        <v>3776</v>
      </c>
    </row>
    <row r="2144" spans="1:1" s="2" customFormat="1" x14ac:dyDescent="0.25">
      <c r="A2144" s="43">
        <v>3777</v>
      </c>
    </row>
    <row r="2145" spans="1:1" s="2" customFormat="1" x14ac:dyDescent="0.25">
      <c r="A2145" s="43">
        <v>3778</v>
      </c>
    </row>
    <row r="2146" spans="1:1" s="2" customFormat="1" x14ac:dyDescent="0.25">
      <c r="A2146" s="43">
        <v>3779</v>
      </c>
    </row>
    <row r="2147" spans="1:1" s="2" customFormat="1" x14ac:dyDescent="0.25">
      <c r="A2147" s="43">
        <v>3780</v>
      </c>
    </row>
    <row r="2148" spans="1:1" s="2" customFormat="1" x14ac:dyDescent="0.25">
      <c r="A2148" s="43">
        <v>3781</v>
      </c>
    </row>
    <row r="2149" spans="1:1" s="2" customFormat="1" x14ac:dyDescent="0.25">
      <c r="A2149" s="43">
        <v>3782</v>
      </c>
    </row>
    <row r="2150" spans="1:1" s="2" customFormat="1" x14ac:dyDescent="0.25">
      <c r="A2150" s="43">
        <v>3783</v>
      </c>
    </row>
    <row r="2151" spans="1:1" s="2" customFormat="1" x14ac:dyDescent="0.25">
      <c r="A2151" s="43">
        <v>3784</v>
      </c>
    </row>
    <row r="2152" spans="1:1" s="2" customFormat="1" x14ac:dyDescent="0.25">
      <c r="A2152" s="43">
        <v>3785</v>
      </c>
    </row>
    <row r="2153" spans="1:1" s="2" customFormat="1" x14ac:dyDescent="0.25">
      <c r="A2153" s="43">
        <v>3786</v>
      </c>
    </row>
    <row r="2154" spans="1:1" s="2" customFormat="1" x14ac:dyDescent="0.25">
      <c r="A2154" s="43">
        <v>3787</v>
      </c>
    </row>
    <row r="2155" spans="1:1" s="2" customFormat="1" x14ac:dyDescent="0.25">
      <c r="A2155" s="43">
        <v>3788</v>
      </c>
    </row>
    <row r="2156" spans="1:1" s="2" customFormat="1" x14ac:dyDescent="0.25">
      <c r="A2156" s="43">
        <v>3789</v>
      </c>
    </row>
    <row r="2157" spans="1:1" s="2" customFormat="1" x14ac:dyDescent="0.25">
      <c r="A2157" s="43">
        <v>3790</v>
      </c>
    </row>
    <row r="2158" spans="1:1" s="2" customFormat="1" x14ac:dyDescent="0.25">
      <c r="A2158" s="43">
        <v>3791</v>
      </c>
    </row>
    <row r="2159" spans="1:1" s="2" customFormat="1" x14ac:dyDescent="0.25">
      <c r="A2159" s="43">
        <v>3792</v>
      </c>
    </row>
    <row r="2160" spans="1:1" s="2" customFormat="1" x14ac:dyDescent="0.25">
      <c r="A2160" s="43">
        <v>3793</v>
      </c>
    </row>
    <row r="2161" spans="1:1" s="2" customFormat="1" x14ac:dyDescent="0.25">
      <c r="A2161" s="43">
        <v>3794</v>
      </c>
    </row>
    <row r="2162" spans="1:1" s="2" customFormat="1" x14ac:dyDescent="0.25">
      <c r="A2162" s="43">
        <v>3795</v>
      </c>
    </row>
    <row r="2163" spans="1:1" s="2" customFormat="1" x14ac:dyDescent="0.25">
      <c r="A2163" s="43">
        <v>3796</v>
      </c>
    </row>
    <row r="2164" spans="1:1" s="2" customFormat="1" x14ac:dyDescent="0.25">
      <c r="A2164" s="43">
        <v>3797</v>
      </c>
    </row>
    <row r="2165" spans="1:1" s="2" customFormat="1" x14ac:dyDescent="0.25">
      <c r="A2165" s="43">
        <v>3798</v>
      </c>
    </row>
    <row r="2166" spans="1:1" s="2" customFormat="1" x14ac:dyDescent="0.25">
      <c r="A2166" s="43">
        <v>3799</v>
      </c>
    </row>
    <row r="2167" spans="1:1" s="2" customFormat="1" x14ac:dyDescent="0.25">
      <c r="A2167" s="43">
        <v>3800</v>
      </c>
    </row>
    <row r="2168" spans="1:1" s="2" customFormat="1" x14ac:dyDescent="0.25">
      <c r="A2168" s="43">
        <v>3801</v>
      </c>
    </row>
    <row r="2169" spans="1:1" s="2" customFormat="1" x14ac:dyDescent="0.25">
      <c r="A2169" s="43">
        <v>3802</v>
      </c>
    </row>
    <row r="2170" spans="1:1" s="2" customFormat="1" x14ac:dyDescent="0.25">
      <c r="A2170" s="43">
        <v>3803</v>
      </c>
    </row>
    <row r="2171" spans="1:1" s="2" customFormat="1" x14ac:dyDescent="0.25">
      <c r="A2171" s="43">
        <v>3804</v>
      </c>
    </row>
    <row r="2172" spans="1:1" s="2" customFormat="1" x14ac:dyDescent="0.25">
      <c r="A2172" s="43">
        <v>3805</v>
      </c>
    </row>
    <row r="2173" spans="1:1" s="2" customFormat="1" x14ac:dyDescent="0.25">
      <c r="A2173" s="43">
        <v>3806</v>
      </c>
    </row>
    <row r="2174" spans="1:1" s="2" customFormat="1" x14ac:dyDescent="0.25">
      <c r="A2174" s="43">
        <v>3807</v>
      </c>
    </row>
    <row r="2175" spans="1:1" s="2" customFormat="1" x14ac:dyDescent="0.25">
      <c r="A2175" s="43">
        <v>3808</v>
      </c>
    </row>
    <row r="2176" spans="1:1" s="2" customFormat="1" x14ac:dyDescent="0.25">
      <c r="A2176" s="43">
        <v>3809</v>
      </c>
    </row>
    <row r="2177" spans="1:1" s="2" customFormat="1" x14ac:dyDescent="0.25">
      <c r="A2177" s="43">
        <v>3810</v>
      </c>
    </row>
    <row r="2178" spans="1:1" s="2" customFormat="1" x14ac:dyDescent="0.25">
      <c r="A2178" s="43">
        <v>3811</v>
      </c>
    </row>
    <row r="2179" spans="1:1" s="2" customFormat="1" x14ac:dyDescent="0.25">
      <c r="A2179" s="43">
        <v>3812</v>
      </c>
    </row>
    <row r="2180" spans="1:1" s="2" customFormat="1" x14ac:dyDescent="0.25">
      <c r="A2180" s="43">
        <v>3813</v>
      </c>
    </row>
    <row r="2181" spans="1:1" s="2" customFormat="1" x14ac:dyDescent="0.25">
      <c r="A2181" s="43">
        <v>3814</v>
      </c>
    </row>
    <row r="2182" spans="1:1" s="2" customFormat="1" x14ac:dyDescent="0.25">
      <c r="A2182" s="43">
        <v>3815</v>
      </c>
    </row>
    <row r="2183" spans="1:1" s="2" customFormat="1" x14ac:dyDescent="0.25">
      <c r="A2183" s="43">
        <v>3816</v>
      </c>
    </row>
    <row r="2184" spans="1:1" s="2" customFormat="1" x14ac:dyDescent="0.25">
      <c r="A2184" s="43">
        <v>3817</v>
      </c>
    </row>
    <row r="2185" spans="1:1" s="2" customFormat="1" x14ac:dyDescent="0.25">
      <c r="A2185" s="43">
        <v>3818</v>
      </c>
    </row>
    <row r="2186" spans="1:1" s="2" customFormat="1" x14ac:dyDescent="0.25">
      <c r="A2186" s="43">
        <v>3819</v>
      </c>
    </row>
    <row r="2187" spans="1:1" s="2" customFormat="1" x14ac:dyDescent="0.25">
      <c r="A2187" s="43">
        <v>3820</v>
      </c>
    </row>
    <row r="2188" spans="1:1" s="2" customFormat="1" x14ac:dyDescent="0.25">
      <c r="A2188" s="43">
        <v>3821</v>
      </c>
    </row>
    <row r="2189" spans="1:1" s="2" customFormat="1" x14ac:dyDescent="0.25">
      <c r="A2189" s="43">
        <v>3822</v>
      </c>
    </row>
    <row r="2190" spans="1:1" s="2" customFormat="1" x14ac:dyDescent="0.25">
      <c r="A2190" s="43">
        <v>3823</v>
      </c>
    </row>
    <row r="2191" spans="1:1" s="2" customFormat="1" x14ac:dyDescent="0.25">
      <c r="A2191" s="43">
        <v>3824</v>
      </c>
    </row>
    <row r="2192" spans="1:1" s="2" customFormat="1" x14ac:dyDescent="0.25">
      <c r="A2192" s="43">
        <v>3825</v>
      </c>
    </row>
    <row r="2193" spans="1:1" s="2" customFormat="1" x14ac:dyDescent="0.25">
      <c r="A2193" s="43">
        <v>3826</v>
      </c>
    </row>
    <row r="2194" spans="1:1" s="2" customFormat="1" x14ac:dyDescent="0.25">
      <c r="A2194" s="43">
        <v>3827</v>
      </c>
    </row>
    <row r="2195" spans="1:1" s="2" customFormat="1" x14ac:dyDescent="0.25">
      <c r="A2195" s="43">
        <v>3828</v>
      </c>
    </row>
    <row r="2196" spans="1:1" s="2" customFormat="1" x14ac:dyDescent="0.25">
      <c r="A2196" s="43">
        <v>3829</v>
      </c>
    </row>
    <row r="2197" spans="1:1" s="2" customFormat="1" x14ac:dyDescent="0.25">
      <c r="A2197" s="43">
        <v>3830</v>
      </c>
    </row>
    <row r="2198" spans="1:1" s="2" customFormat="1" x14ac:dyDescent="0.25">
      <c r="A2198" s="43">
        <v>3831</v>
      </c>
    </row>
    <row r="2199" spans="1:1" s="2" customFormat="1" x14ac:dyDescent="0.25">
      <c r="A2199" s="43">
        <v>3832</v>
      </c>
    </row>
    <row r="2200" spans="1:1" s="2" customFormat="1" x14ac:dyDescent="0.25">
      <c r="A2200" s="43">
        <v>3833</v>
      </c>
    </row>
    <row r="2201" spans="1:1" s="2" customFormat="1" x14ac:dyDescent="0.25">
      <c r="A2201" s="43">
        <v>3834</v>
      </c>
    </row>
    <row r="2202" spans="1:1" s="2" customFormat="1" x14ac:dyDescent="0.25">
      <c r="A2202" s="43">
        <v>3835</v>
      </c>
    </row>
    <row r="2203" spans="1:1" s="2" customFormat="1" x14ac:dyDescent="0.25">
      <c r="A2203" s="43">
        <v>3836</v>
      </c>
    </row>
    <row r="2204" spans="1:1" s="2" customFormat="1" x14ac:dyDescent="0.25">
      <c r="A2204" s="43">
        <v>3837</v>
      </c>
    </row>
    <row r="2205" spans="1:1" s="2" customFormat="1" x14ac:dyDescent="0.25">
      <c r="A2205" s="43">
        <v>3838</v>
      </c>
    </row>
    <row r="2206" spans="1:1" s="2" customFormat="1" x14ac:dyDescent="0.25">
      <c r="A2206" s="43">
        <v>3839</v>
      </c>
    </row>
    <row r="2207" spans="1:1" s="2" customFormat="1" x14ac:dyDescent="0.25">
      <c r="A2207" s="43">
        <v>3840</v>
      </c>
    </row>
    <row r="2208" spans="1:1" s="2" customFormat="1" x14ac:dyDescent="0.25">
      <c r="A2208" s="43">
        <v>3841</v>
      </c>
    </row>
    <row r="2209" spans="1:1" s="2" customFormat="1" x14ac:dyDescent="0.25">
      <c r="A2209" s="43">
        <v>3842</v>
      </c>
    </row>
    <row r="2210" spans="1:1" s="2" customFormat="1" x14ac:dyDescent="0.25">
      <c r="A2210" s="43">
        <v>3843</v>
      </c>
    </row>
    <row r="2211" spans="1:1" s="2" customFormat="1" x14ac:dyDescent="0.25">
      <c r="A2211" s="43">
        <v>3844</v>
      </c>
    </row>
    <row r="2212" spans="1:1" s="2" customFormat="1" x14ac:dyDescent="0.25">
      <c r="A2212" s="43">
        <v>3845</v>
      </c>
    </row>
    <row r="2213" spans="1:1" s="2" customFormat="1" x14ac:dyDescent="0.25">
      <c r="A2213" s="43">
        <v>3846</v>
      </c>
    </row>
    <row r="2214" spans="1:1" s="2" customFormat="1" x14ac:dyDescent="0.25">
      <c r="A2214" s="43">
        <v>3847</v>
      </c>
    </row>
    <row r="2215" spans="1:1" s="2" customFormat="1" x14ac:dyDescent="0.25">
      <c r="A2215" s="43">
        <v>3848</v>
      </c>
    </row>
    <row r="2216" spans="1:1" s="2" customFormat="1" x14ac:dyDescent="0.25">
      <c r="A2216" s="43">
        <v>3849</v>
      </c>
    </row>
    <row r="2217" spans="1:1" s="2" customFormat="1" x14ac:dyDescent="0.25">
      <c r="A2217" s="43">
        <v>3850</v>
      </c>
    </row>
    <row r="2218" spans="1:1" s="2" customFormat="1" x14ac:dyDescent="0.25">
      <c r="A2218" s="43">
        <v>3851</v>
      </c>
    </row>
    <row r="2219" spans="1:1" s="2" customFormat="1" x14ac:dyDescent="0.25">
      <c r="A2219" s="43">
        <v>3852</v>
      </c>
    </row>
    <row r="2220" spans="1:1" s="2" customFormat="1" x14ac:dyDescent="0.25">
      <c r="A2220" s="43">
        <v>3853</v>
      </c>
    </row>
    <row r="2221" spans="1:1" s="2" customFormat="1" x14ac:dyDescent="0.25">
      <c r="A2221" s="43">
        <v>3854</v>
      </c>
    </row>
    <row r="2222" spans="1:1" s="2" customFormat="1" x14ac:dyDescent="0.25">
      <c r="A2222" s="43">
        <v>3855</v>
      </c>
    </row>
    <row r="2223" spans="1:1" s="2" customFormat="1" x14ac:dyDescent="0.25">
      <c r="A2223" s="43">
        <v>3856</v>
      </c>
    </row>
    <row r="2224" spans="1:1" s="2" customFormat="1" x14ac:dyDescent="0.25">
      <c r="A2224" s="43">
        <v>3857</v>
      </c>
    </row>
    <row r="2225" spans="1:1" s="2" customFormat="1" x14ac:dyDescent="0.25">
      <c r="A2225" s="43">
        <v>3858</v>
      </c>
    </row>
    <row r="2226" spans="1:1" s="2" customFormat="1" x14ac:dyDescent="0.25">
      <c r="A2226" s="43">
        <v>3859</v>
      </c>
    </row>
    <row r="2227" spans="1:1" s="2" customFormat="1" x14ac:dyDescent="0.25">
      <c r="A2227" s="43">
        <v>3860</v>
      </c>
    </row>
    <row r="2228" spans="1:1" s="2" customFormat="1" x14ac:dyDescent="0.25">
      <c r="A2228" s="43">
        <v>3861</v>
      </c>
    </row>
    <row r="2229" spans="1:1" s="2" customFormat="1" x14ac:dyDescent="0.25">
      <c r="A2229" s="43">
        <v>3862</v>
      </c>
    </row>
    <row r="2230" spans="1:1" s="2" customFormat="1" x14ac:dyDescent="0.25">
      <c r="A2230" s="43">
        <v>3863</v>
      </c>
    </row>
    <row r="2231" spans="1:1" s="2" customFormat="1" x14ac:dyDescent="0.25">
      <c r="A2231" s="43">
        <v>3864</v>
      </c>
    </row>
    <row r="2232" spans="1:1" s="2" customFormat="1" x14ac:dyDescent="0.25">
      <c r="A2232" s="43">
        <v>3865</v>
      </c>
    </row>
    <row r="2233" spans="1:1" s="2" customFormat="1" x14ac:dyDescent="0.25">
      <c r="A2233" s="43">
        <v>3866</v>
      </c>
    </row>
    <row r="2234" spans="1:1" s="2" customFormat="1" x14ac:dyDescent="0.25">
      <c r="A2234" s="43">
        <v>3867</v>
      </c>
    </row>
    <row r="2235" spans="1:1" s="2" customFormat="1" x14ac:dyDescent="0.25">
      <c r="A2235" s="43">
        <v>3868</v>
      </c>
    </row>
    <row r="2236" spans="1:1" s="2" customFormat="1" x14ac:dyDescent="0.25">
      <c r="A2236" s="43">
        <v>3869</v>
      </c>
    </row>
    <row r="2237" spans="1:1" s="2" customFormat="1" x14ac:dyDescent="0.25">
      <c r="A2237" s="43">
        <v>3870</v>
      </c>
    </row>
    <row r="2238" spans="1:1" s="2" customFormat="1" x14ac:dyDescent="0.25">
      <c r="A2238" s="43">
        <v>3871</v>
      </c>
    </row>
    <row r="2239" spans="1:1" s="2" customFormat="1" x14ac:dyDescent="0.25">
      <c r="A2239" s="43">
        <v>3872</v>
      </c>
    </row>
    <row r="2240" spans="1:1" s="2" customFormat="1" x14ac:dyDescent="0.25">
      <c r="A2240" s="43">
        <v>3873</v>
      </c>
    </row>
    <row r="2241" spans="1:1" s="2" customFormat="1" x14ac:dyDescent="0.25">
      <c r="A2241" s="43">
        <v>3874</v>
      </c>
    </row>
    <row r="2242" spans="1:1" s="2" customFormat="1" x14ac:dyDescent="0.25">
      <c r="A2242" s="43">
        <v>3875</v>
      </c>
    </row>
    <row r="2243" spans="1:1" s="2" customFormat="1" x14ac:dyDescent="0.25">
      <c r="A2243" s="43">
        <v>3876</v>
      </c>
    </row>
    <row r="2244" spans="1:1" s="2" customFormat="1" x14ac:dyDescent="0.25">
      <c r="A2244" s="43">
        <v>3877</v>
      </c>
    </row>
    <row r="2245" spans="1:1" s="2" customFormat="1" x14ac:dyDescent="0.25">
      <c r="A2245" s="43">
        <v>3878</v>
      </c>
    </row>
    <row r="2246" spans="1:1" s="2" customFormat="1" x14ac:dyDescent="0.25">
      <c r="A2246" s="43">
        <v>3879</v>
      </c>
    </row>
    <row r="2247" spans="1:1" s="2" customFormat="1" x14ac:dyDescent="0.25">
      <c r="A2247" s="43">
        <v>3880</v>
      </c>
    </row>
    <row r="2248" spans="1:1" s="2" customFormat="1" x14ac:dyDescent="0.25">
      <c r="A2248" s="43">
        <v>3881</v>
      </c>
    </row>
    <row r="2249" spans="1:1" s="2" customFormat="1" x14ac:dyDescent="0.25">
      <c r="A2249" s="43">
        <v>3882</v>
      </c>
    </row>
    <row r="2250" spans="1:1" s="2" customFormat="1" x14ac:dyDescent="0.25">
      <c r="A2250" s="43">
        <v>3883</v>
      </c>
    </row>
    <row r="2251" spans="1:1" s="2" customFormat="1" x14ac:dyDescent="0.25">
      <c r="A2251" s="43">
        <v>3884</v>
      </c>
    </row>
    <row r="2252" spans="1:1" s="2" customFormat="1" x14ac:dyDescent="0.25">
      <c r="A2252" s="43">
        <v>3885</v>
      </c>
    </row>
    <row r="2253" spans="1:1" s="2" customFormat="1" x14ac:dyDescent="0.25">
      <c r="A2253" s="43">
        <v>3886</v>
      </c>
    </row>
    <row r="2254" spans="1:1" s="2" customFormat="1" x14ac:dyDescent="0.25">
      <c r="A2254" s="43">
        <v>3887</v>
      </c>
    </row>
    <row r="2255" spans="1:1" s="2" customFormat="1" x14ac:dyDescent="0.25">
      <c r="A2255" s="43">
        <v>3888</v>
      </c>
    </row>
    <row r="2256" spans="1:1" s="2" customFormat="1" x14ac:dyDescent="0.25">
      <c r="A2256" s="43">
        <v>3889</v>
      </c>
    </row>
    <row r="2257" spans="1:1" s="2" customFormat="1" x14ac:dyDescent="0.25">
      <c r="A2257" s="43">
        <v>3890</v>
      </c>
    </row>
    <row r="2258" spans="1:1" s="2" customFormat="1" x14ac:dyDescent="0.25">
      <c r="A2258" s="43">
        <v>3891</v>
      </c>
    </row>
    <row r="2259" spans="1:1" s="2" customFormat="1" x14ac:dyDescent="0.25">
      <c r="A2259" s="43">
        <v>3892</v>
      </c>
    </row>
    <row r="2260" spans="1:1" s="2" customFormat="1" x14ac:dyDescent="0.25">
      <c r="A2260" s="43">
        <v>3893</v>
      </c>
    </row>
    <row r="2261" spans="1:1" s="2" customFormat="1" x14ac:dyDescent="0.25">
      <c r="A2261" s="43">
        <v>3894</v>
      </c>
    </row>
    <row r="2262" spans="1:1" s="2" customFormat="1" x14ac:dyDescent="0.25">
      <c r="A2262" s="43">
        <v>3895</v>
      </c>
    </row>
    <row r="2263" spans="1:1" s="2" customFormat="1" x14ac:dyDescent="0.25">
      <c r="A2263" s="43">
        <v>3896</v>
      </c>
    </row>
    <row r="2264" spans="1:1" s="2" customFormat="1" x14ac:dyDescent="0.25">
      <c r="A2264" s="43">
        <v>3897</v>
      </c>
    </row>
    <row r="2265" spans="1:1" s="2" customFormat="1" x14ac:dyDescent="0.25">
      <c r="A2265" s="43">
        <v>3898</v>
      </c>
    </row>
    <row r="2266" spans="1:1" s="2" customFormat="1" x14ac:dyDescent="0.25">
      <c r="A2266" s="43">
        <v>3899</v>
      </c>
    </row>
    <row r="2267" spans="1:1" s="2" customFormat="1" x14ac:dyDescent="0.25">
      <c r="A2267" s="43">
        <v>3900</v>
      </c>
    </row>
    <row r="2268" spans="1:1" s="2" customFormat="1" x14ac:dyDescent="0.25">
      <c r="A2268" s="43">
        <v>3901</v>
      </c>
    </row>
    <row r="2269" spans="1:1" s="2" customFormat="1" x14ac:dyDescent="0.25">
      <c r="A2269" s="43">
        <v>3902</v>
      </c>
    </row>
    <row r="2270" spans="1:1" s="2" customFormat="1" x14ac:dyDescent="0.25">
      <c r="A2270" s="43">
        <v>3903</v>
      </c>
    </row>
    <row r="2271" spans="1:1" s="2" customFormat="1" x14ac:dyDescent="0.25">
      <c r="A2271" s="43">
        <v>3904</v>
      </c>
    </row>
    <row r="2272" spans="1:1" s="2" customFormat="1" x14ac:dyDescent="0.25">
      <c r="A2272" s="43">
        <v>3905</v>
      </c>
    </row>
    <row r="2273" spans="1:1" s="2" customFormat="1" x14ac:dyDescent="0.25">
      <c r="A2273" s="43">
        <v>3906</v>
      </c>
    </row>
    <row r="2274" spans="1:1" s="2" customFormat="1" x14ac:dyDescent="0.25">
      <c r="A2274" s="43">
        <v>3907</v>
      </c>
    </row>
    <row r="2275" spans="1:1" s="2" customFormat="1" x14ac:dyDescent="0.25">
      <c r="A2275" s="43">
        <v>3908</v>
      </c>
    </row>
    <row r="2276" spans="1:1" s="2" customFormat="1" x14ac:dyDescent="0.25">
      <c r="A2276" s="43">
        <v>3909</v>
      </c>
    </row>
    <row r="2277" spans="1:1" s="2" customFormat="1" x14ac:dyDescent="0.25">
      <c r="A2277" s="43">
        <v>3910</v>
      </c>
    </row>
    <row r="2278" spans="1:1" s="2" customFormat="1" x14ac:dyDescent="0.25">
      <c r="A2278" s="43">
        <v>3911</v>
      </c>
    </row>
    <row r="2279" spans="1:1" s="2" customFormat="1" x14ac:dyDescent="0.25">
      <c r="A2279" s="43">
        <v>3912</v>
      </c>
    </row>
    <row r="2280" spans="1:1" s="2" customFormat="1" x14ac:dyDescent="0.25">
      <c r="A2280" s="43">
        <v>3913</v>
      </c>
    </row>
    <row r="2281" spans="1:1" s="2" customFormat="1" x14ac:dyDescent="0.25">
      <c r="A2281" s="43">
        <v>3914</v>
      </c>
    </row>
    <row r="2282" spans="1:1" s="2" customFormat="1" x14ac:dyDescent="0.25">
      <c r="A2282" s="43">
        <v>3915</v>
      </c>
    </row>
    <row r="2283" spans="1:1" s="2" customFormat="1" x14ac:dyDescent="0.25">
      <c r="A2283" s="43">
        <v>3916</v>
      </c>
    </row>
    <row r="2284" spans="1:1" s="2" customFormat="1" x14ac:dyDescent="0.25">
      <c r="A2284" s="43">
        <v>3917</v>
      </c>
    </row>
    <row r="2285" spans="1:1" s="2" customFormat="1" x14ac:dyDescent="0.25">
      <c r="A2285" s="43">
        <v>3918</v>
      </c>
    </row>
    <row r="2286" spans="1:1" s="2" customFormat="1" x14ac:dyDescent="0.25">
      <c r="A2286" s="43">
        <v>3919</v>
      </c>
    </row>
    <row r="2287" spans="1:1" s="2" customFormat="1" x14ac:dyDescent="0.25">
      <c r="A2287" s="43">
        <v>3920</v>
      </c>
    </row>
    <row r="2288" spans="1:1" s="2" customFormat="1" x14ac:dyDescent="0.25">
      <c r="A2288" s="43">
        <v>3921</v>
      </c>
    </row>
    <row r="2289" spans="1:1" s="2" customFormat="1" x14ac:dyDescent="0.25">
      <c r="A2289" s="43">
        <v>3922</v>
      </c>
    </row>
    <row r="2290" spans="1:1" s="2" customFormat="1" x14ac:dyDescent="0.25">
      <c r="A2290" s="43">
        <v>3923</v>
      </c>
    </row>
    <row r="2291" spans="1:1" s="2" customFormat="1" x14ac:dyDescent="0.25">
      <c r="A2291" s="43">
        <v>3924</v>
      </c>
    </row>
    <row r="2292" spans="1:1" s="2" customFormat="1" x14ac:dyDescent="0.25">
      <c r="A2292" s="43">
        <v>3925</v>
      </c>
    </row>
    <row r="2293" spans="1:1" s="2" customFormat="1" x14ac:dyDescent="0.25">
      <c r="A2293" s="43">
        <v>3926</v>
      </c>
    </row>
    <row r="2294" spans="1:1" s="2" customFormat="1" x14ac:dyDescent="0.25">
      <c r="A2294" s="43">
        <v>3964</v>
      </c>
    </row>
    <row r="2295" spans="1:1" s="2" customFormat="1" x14ac:dyDescent="0.25">
      <c r="A2295" s="43">
        <v>3965</v>
      </c>
    </row>
    <row r="2296" spans="1:1" s="2" customFormat="1" x14ac:dyDescent="0.25">
      <c r="A2296" s="43">
        <v>3966</v>
      </c>
    </row>
    <row r="2297" spans="1:1" s="2" customFormat="1" x14ac:dyDescent="0.25">
      <c r="A2297" s="43">
        <v>3967</v>
      </c>
    </row>
    <row r="2298" spans="1:1" s="2" customFormat="1" x14ac:dyDescent="0.25">
      <c r="A2298" s="43">
        <v>3968</v>
      </c>
    </row>
    <row r="2299" spans="1:1" s="2" customFormat="1" x14ac:dyDescent="0.25">
      <c r="A2299" s="43">
        <v>3969</v>
      </c>
    </row>
    <row r="2300" spans="1:1" s="2" customFormat="1" x14ac:dyDescent="0.25">
      <c r="A2300" s="43">
        <v>3970</v>
      </c>
    </row>
    <row r="2301" spans="1:1" s="2" customFormat="1" x14ac:dyDescent="0.25">
      <c r="A2301" s="43">
        <v>3971</v>
      </c>
    </row>
    <row r="2302" spans="1:1" s="2" customFormat="1" x14ac:dyDescent="0.25">
      <c r="A2302" s="43">
        <v>3972</v>
      </c>
    </row>
    <row r="2303" spans="1:1" s="2" customFormat="1" x14ac:dyDescent="0.25">
      <c r="A2303" s="43">
        <v>3973</v>
      </c>
    </row>
    <row r="2304" spans="1:1" s="2" customFormat="1" x14ac:dyDescent="0.25">
      <c r="A2304" s="43">
        <v>3974</v>
      </c>
    </row>
    <row r="2305" spans="1:1" s="2" customFormat="1" x14ac:dyDescent="0.25">
      <c r="A2305" s="43">
        <v>3975</v>
      </c>
    </row>
    <row r="2306" spans="1:1" s="2" customFormat="1" x14ac:dyDescent="0.25">
      <c r="A2306" s="43">
        <v>3976</v>
      </c>
    </row>
    <row r="2307" spans="1:1" s="2" customFormat="1" x14ac:dyDescent="0.25">
      <c r="A2307" s="43">
        <v>3977</v>
      </c>
    </row>
    <row r="2308" spans="1:1" s="2" customFormat="1" x14ac:dyDescent="0.25">
      <c r="A2308" s="43">
        <v>3978</v>
      </c>
    </row>
    <row r="2309" spans="1:1" s="2" customFormat="1" x14ac:dyDescent="0.25">
      <c r="A2309" s="43">
        <v>3979</v>
      </c>
    </row>
    <row r="2310" spans="1:1" s="2" customFormat="1" x14ac:dyDescent="0.25">
      <c r="A2310" s="43">
        <v>3980</v>
      </c>
    </row>
    <row r="2311" spans="1:1" s="2" customFormat="1" x14ac:dyDescent="0.25">
      <c r="A2311" s="43">
        <v>3981</v>
      </c>
    </row>
    <row r="2312" spans="1:1" s="2" customFormat="1" x14ac:dyDescent="0.25">
      <c r="A2312" s="43">
        <v>3982</v>
      </c>
    </row>
    <row r="2313" spans="1:1" s="2" customFormat="1" x14ac:dyDescent="0.25">
      <c r="A2313" s="43">
        <v>3983</v>
      </c>
    </row>
    <row r="2314" spans="1:1" s="2" customFormat="1" x14ac:dyDescent="0.25">
      <c r="A2314" s="43">
        <v>3984</v>
      </c>
    </row>
    <row r="2315" spans="1:1" s="2" customFormat="1" x14ac:dyDescent="0.25">
      <c r="A2315" s="43">
        <v>3985</v>
      </c>
    </row>
    <row r="2316" spans="1:1" s="2" customFormat="1" x14ac:dyDescent="0.25">
      <c r="A2316" s="43">
        <v>3986</v>
      </c>
    </row>
    <row r="2317" spans="1:1" s="2" customFormat="1" x14ac:dyDescent="0.25">
      <c r="A2317" s="43">
        <v>3987</v>
      </c>
    </row>
    <row r="2318" spans="1:1" s="2" customFormat="1" x14ac:dyDescent="0.25">
      <c r="A2318" s="43">
        <v>3988</v>
      </c>
    </row>
    <row r="2319" spans="1:1" s="2" customFormat="1" x14ac:dyDescent="0.25">
      <c r="A2319" s="43">
        <v>3989</v>
      </c>
    </row>
    <row r="2320" spans="1:1" s="2" customFormat="1" x14ac:dyDescent="0.25">
      <c r="A2320" s="43">
        <v>3990</v>
      </c>
    </row>
    <row r="2321" spans="1:1" s="2" customFormat="1" x14ac:dyDescent="0.25">
      <c r="A2321" s="43">
        <v>3991</v>
      </c>
    </row>
    <row r="2322" spans="1:1" s="2" customFormat="1" x14ac:dyDescent="0.25">
      <c r="A2322" s="43">
        <v>3992</v>
      </c>
    </row>
    <row r="2323" spans="1:1" s="2" customFormat="1" x14ac:dyDescent="0.25">
      <c r="A2323" s="43">
        <v>3993</v>
      </c>
    </row>
    <row r="2324" spans="1:1" s="2" customFormat="1" x14ac:dyDescent="0.25">
      <c r="A2324" s="43">
        <v>3994</v>
      </c>
    </row>
    <row r="2325" spans="1:1" s="2" customFormat="1" x14ac:dyDescent="0.25">
      <c r="A2325" s="43">
        <v>3995</v>
      </c>
    </row>
    <row r="2326" spans="1:1" s="2" customFormat="1" x14ac:dyDescent="0.25">
      <c r="A2326" s="43">
        <v>3996</v>
      </c>
    </row>
    <row r="2327" spans="1:1" s="2" customFormat="1" x14ac:dyDescent="0.25">
      <c r="A2327" s="43">
        <v>3997</v>
      </c>
    </row>
    <row r="2328" spans="1:1" s="2" customFormat="1" x14ac:dyDescent="0.25">
      <c r="A2328" s="43">
        <v>3998</v>
      </c>
    </row>
    <row r="2329" spans="1:1" s="2" customFormat="1" x14ac:dyDescent="0.25">
      <c r="A2329" s="43">
        <v>3999</v>
      </c>
    </row>
    <row r="2330" spans="1:1" s="2" customFormat="1" x14ac:dyDescent="0.25">
      <c r="A2330" s="43">
        <v>4000</v>
      </c>
    </row>
    <row r="2345" spans="1:17" s="12" customFormat="1" x14ac:dyDescent="0.25">
      <c r="A2345" s="2"/>
      <c r="B2345" s="44"/>
      <c r="D2345" s="2"/>
      <c r="E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</row>
  </sheetData>
  <autoFilter ref="A11:Q2331"/>
  <mergeCells count="21">
    <mergeCell ref="M9:N9"/>
    <mergeCell ref="O9:O10"/>
    <mergeCell ref="P9:P10"/>
    <mergeCell ref="Q9:Q10"/>
    <mergeCell ref="N918:Q925"/>
    <mergeCell ref="G9:G10"/>
    <mergeCell ref="H9:H10"/>
    <mergeCell ref="I9:I10"/>
    <mergeCell ref="J9:J10"/>
    <mergeCell ref="K9:K10"/>
    <mergeCell ref="L9:L10"/>
    <mergeCell ref="A1:Q6"/>
    <mergeCell ref="A7:Q7"/>
    <mergeCell ref="A8:A10"/>
    <mergeCell ref="B8:F8"/>
    <mergeCell ref="H8:L8"/>
    <mergeCell ref="M8:P8"/>
    <mergeCell ref="B9:B10"/>
    <mergeCell ref="C9:D9"/>
    <mergeCell ref="E9:E10"/>
    <mergeCell ref="F9:F10"/>
  </mergeCells>
  <conditionalFormatting sqref="Q12:Q15">
    <cfRule type="containsText" dxfId="14" priority="14" operator="containsText" text="মু্কতি">
      <formula>NOT(ISERROR(SEARCH("মু্কতি",Q12)))</formula>
    </cfRule>
  </conditionalFormatting>
  <conditionalFormatting sqref="F927:F1048576 F204:F259 F8:F13 F261:F516 F16:F202">
    <cfRule type="duplicateValues" dxfId="13" priority="13"/>
  </conditionalFormatting>
  <conditionalFormatting sqref="F203">
    <cfRule type="duplicateValues" dxfId="12" priority="10"/>
    <cfRule type="duplicateValues" dxfId="11" priority="11"/>
    <cfRule type="duplicateValues" dxfId="10" priority="12"/>
  </conditionalFormatting>
  <conditionalFormatting sqref="F683">
    <cfRule type="duplicateValues" dxfId="9" priority="9"/>
  </conditionalFormatting>
  <conditionalFormatting sqref="F683">
    <cfRule type="duplicateValues" dxfId="8" priority="8"/>
  </conditionalFormatting>
  <conditionalFormatting sqref="F684">
    <cfRule type="duplicateValues" dxfId="7" priority="5"/>
    <cfRule type="duplicateValues" dxfId="6" priority="6"/>
    <cfRule type="duplicateValues" dxfId="5" priority="7"/>
  </conditionalFormatting>
  <conditionalFormatting sqref="F623:F682 F517:F621">
    <cfRule type="duplicateValues" dxfId="4" priority="15"/>
  </conditionalFormatting>
  <conditionalFormatting sqref="F260">
    <cfRule type="duplicateValues" dxfId="3" priority="4"/>
  </conditionalFormatting>
  <conditionalFormatting sqref="F622">
    <cfRule type="duplicateValues" dxfId="2" priority="3"/>
  </conditionalFormatting>
  <conditionalFormatting sqref="F14">
    <cfRule type="duplicateValues" dxfId="1" priority="2"/>
  </conditionalFormatting>
  <conditionalFormatting sqref="F15">
    <cfRule type="duplicateValues" dxfId="0" priority="1"/>
  </conditionalFormatting>
  <printOptions horizontalCentered="1"/>
  <pageMargins left="0.2" right="0.2" top="0.5" bottom="0.75" header="0.3" footer="0.3"/>
  <pageSetup paperSize="5" scale="68" orientation="landscape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ফেব্রুয়ারী টপশীট</vt:lpstr>
      <vt:lpstr>February 26</vt:lpstr>
      <vt:lpstr>'ফেব্রুয়ারী টপশীট'!Print_Area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2026-04-16T06:07:08Z</dcterms:created>
  <dcterms:modified xsi:type="dcterms:W3CDTF">2026-04-16T06:08:50Z</dcterms:modified>
</cp:coreProperties>
</file>